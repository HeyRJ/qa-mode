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Open questions" sheetId="2" state="visible" r:id="rId4"/>
  </sheets>
  <definedNames>
    <definedName function="false" hidden="false" localSheetId="1" name="_xlnm.Print_Titles" vbProcedure="false">'Open questions'!$1:$1</definedName>
    <definedName function="false" hidden="true" localSheetId="1" name="_xlnm._FilterDatabase" vbProcedure="false">'Open questions'!$A$1:$L$45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<sst xmlns="http://schemas.openxmlformats.org/spreadsheetml/2006/main" count="424" uniqueCount="196">
  <si>
    <t xml:space="preserve">Open questions for BA and devs</t>
  </si>
  <si>
    <t xml:space="preserve">Reach CSV report card, requirements v1 (baselined 28-09-2026)</t>
  </si>
  <si>
    <t xml:space="preserve">Test case IDs refer to Reach report card v1 test cases.xlsx.</t>
  </si>
  <si>
    <t xml:space="preserve">How to fill this in</t>
  </si>
  <si>
    <t xml:space="preserve">Fill in only the yellow columns on the Open questions sheet: Answer, Answered by, Date answered (DD-MM-YYYY) and Status.</t>
  </si>
  <si>
    <t xml:space="preserve">Set Status to Answered once the answer is agreed. Leave every other column as it is.</t>
  </si>
  <si>
    <t xml:space="preserve">Blocking means the test case can't be written or passed until the question is answered.</t>
  </si>
  <si>
    <t xml:space="preserve">Suggested owner is QA's guess at who can answer; pass it on if it's wrong.</t>
  </si>
  <si>
    <t xml:space="preserve">Summary</t>
  </si>
  <si>
    <t xml:space="preserve">Count</t>
  </si>
  <si>
    <t xml:space="preserve">Total questions</t>
  </si>
  <si>
    <t xml:space="preserve">Blocking</t>
  </si>
  <si>
    <t xml:space="preserve">Not blocking</t>
  </si>
  <si>
    <t xml:space="preserve">Still open</t>
  </si>
  <si>
    <t xml:space="preserve">Blocking and still open</t>
  </si>
  <si>
    <t xml:space="preserve">Answered</t>
  </si>
  <si>
    <t xml:space="preserve">Q ID</t>
  </si>
  <si>
    <t xml:space="preserve">Raised in</t>
  </si>
  <si>
    <t xml:space="preserve">Type</t>
  </si>
  <si>
    <t xml:space="preserve">Story / AC / Rule</t>
  </si>
  <si>
    <t xml:space="preserve">Question</t>
  </si>
  <si>
    <t xml:space="preserve">Affected test cases</t>
  </si>
  <si>
    <t xml:space="preserve">Suggested owner</t>
  </si>
  <si>
    <t xml:space="preserve">Answer</t>
  </si>
  <si>
    <t xml:space="preserve">Answered by</t>
  </si>
  <si>
    <t xml:space="preserve">Date answered (DD-MM-YYYY)</t>
  </si>
  <si>
    <t xml:space="preserve">Status</t>
  </si>
  <si>
    <t xml:space="preserve">Q-01</t>
  </si>
  <si>
    <t xml:space="preserve">Review (29-09-2026)</t>
  </si>
  <si>
    <t xml:space="preserve">Can't be checked as written</t>
  </si>
  <si>
    <t xml:space="preserve">RC-19.5</t>
  </si>
  <si>
    <t xml:space="preserve">Row 18's caption is "Giveaway! Tag a friend who loves cake 🎂", so the word "Giveaway" appears in the top 3 even when Notes is correctly hidden. A correct build fails this AC as written. What exactly should the tester check to prove Notes isn't shown?</t>
  </si>
  <si>
    <t xml:space="preserve">TC-122</t>
  </si>
  <si>
    <t xml:space="preserve">BA</t>
  </si>
  <si>
    <t xml:space="preserve">Open</t>
  </si>
  <si>
    <t xml:space="preserve">Q-02</t>
  </si>
  <si>
    <t xml:space="preserve">Review and EP-3 test cases</t>
  </si>
  <si>
    <t xml:space="preserve">RC-17.2</t>
  </si>
  <si>
    <t xml:space="preserve">Is "(7 to fix, 1 skipped, 1 too new)" part of the header text shown on screen, or a working note from the BA? The tester needs the exact header text.</t>
  </si>
  <si>
    <t xml:space="preserve">TC-001, TC-003, TC-004, TC-012, TC-021, TC-031, TC-062, TC-083, TC-112</t>
  </si>
  <si>
    <t xml:space="preserve">Q-03</t>
  </si>
  <si>
    <t xml:space="preserve">RC-19.3</t>
  </si>
  <si>
    <t xml:space="preserve">Row 6 is in the top 3 and its Platform is "IG". Does the card show "IG" or "Instagram"? Also: is the row number shown (RC-19.1 lists "Row 18", but RC-19.3's field list has no row number)? Is the date shown as DD-MM-YYYY? Is a long caption shown in full or cut short at 360 px?</t>
  </si>
  <si>
    <t xml:space="preserve">TC-046, TC-118</t>
  </si>
  <si>
    <t xml:space="preserve">Q-04</t>
  </si>
  <si>
    <t xml:space="preserve">Contradiction</t>
  </si>
  <si>
    <t xml:space="preserve">BR-13, Field spec (Whole row: duplicate) vs BR-15, Field spec (Notes)</t>
  </si>
  <si>
    <t xml:space="preserve">A duplicate must match on all nine columns, and Notes is one of them. So two rows that differ only in Notes are both graded, which means Notes changes the totals and the grade. BR-15 says that never happens. Which rule wins? Also: a file with no Notes column has only eight columns, and an extra column such as "Link" (RC-02.5): is it part of the comparison?</t>
  </si>
  <si>
    <t xml:space="preserve">TC-065, TC-066, TC-068</t>
  </si>
  <si>
    <t xml:space="preserve">Q-05</t>
  </si>
  <si>
    <t xml:space="preserve">EP-3 test cases (29-09-2026)</t>
  </si>
  <si>
    <t xml:space="preserve">RC-12.1, RC-12.2, RC-12.3, RC-15.9</t>
  </si>
  <si>
    <t xml:space="preserve">These ACs use sample rows 2, 3, 4 and 7, and none of them is in the top 3 or bottom 3. The only place their rate and grade appear is "All posts", which is a Could story (RC-21). If RC-21 isn't built, how should these ACs be checked?</t>
  </si>
  <si>
    <t xml:space="preserve">TC-072, TC-077, TC-079, TC-105</t>
  </si>
  <si>
    <t xml:space="preserve">Q-06</t>
  </si>
  <si>
    <t xml:space="preserve">Missing</t>
  </si>
  <si>
    <t xml:space="preserve">RC-12.1, RC-12.2, RC-21.1</t>
  </si>
  <si>
    <t xml:space="preserve">Nothing on screen shows the interactions for a post outside the top 3; RC-21.1 lists only rate and grade for each post. Where should the tester check 745 interactions (row 2) and 111 interactions (row 3)? TC-073 checks 745 through the Instagram section using a one-row copy of row 2; 111 can't be checked anywhere.</t>
  </si>
  <si>
    <t xml:space="preserve">TC-072, TC-077</t>
  </si>
  <si>
    <t xml:space="preserve">Q-07</t>
  </si>
  <si>
    <t xml:space="preserve">RC-01.1, RC-01.2, RC-01.3</t>
  </si>
  <si>
    <t xml:space="preserve">"The report card for September 2026 is shown" doesn't list what the card contains. Can the tester use the figures in RC-04.2, RC-13.1, RC-14.1–14.2 and RC-17 to RC-20 as the full expected result?</t>
  </si>
  <si>
    <t xml:space="preserve">TC-001, TC-003, TC-004</t>
  </si>
  <si>
    <t xml:space="preserve">Q-08</t>
  </si>
  <si>
    <t xml:space="preserve">RC-01.1, BR-09</t>
  </si>
  <si>
    <t xml:space="preserve">The Given says the file was "uploaded on 28-09-2026", and BR-09's future-date check uses the device date. Does the tester have to set the device date to 28-09-2026 before running tests with the sample file? Until this is answered, every test case sets the device date to 28-09-2026.</t>
  </si>
  <si>
    <t xml:space="preserve">All</t>
  </si>
  <si>
    <t xml:space="preserve">Q-09</t>
  </si>
  <si>
    <t xml:space="preserve">RC-18.3</t>
  </si>
  <si>
    <t xml:space="preserve">Is 360 × 640 px the screen size or the browser's visible area? Browser bars take up height. Which phone browser should be used?</t>
  </si>
  <si>
    <t xml:space="preserve">TC-004, TC-115</t>
  </si>
  <si>
    <t xml:space="preserve">BA and devs</t>
  </si>
  <si>
    <t xml:space="preserve">Q-10</t>
  </si>
  <si>
    <t xml:space="preserve">RC-19.1</t>
  </si>
  <si>
    <t xml:space="preserve">Items 1 and 3 name the posts in shorthand ("Giveaway", "the Hindi caption about the new branch"). What is the exact caption text the card should show?</t>
  </si>
  <si>
    <t xml:space="preserve">TC-046, TC-116</t>
  </si>
  <si>
    <t xml:space="preserve">Q-11</t>
  </si>
  <si>
    <t xml:space="preserve">RC-20.1, BR-16</t>
  </si>
  <si>
    <t xml:space="preserve">On an exact tie, "more views ranks higher". In the bottom 3, listed worst first, does "higher" mean listed first or listed later?</t>
  </si>
  <si>
    <t xml:space="preserve">TC-125</t>
  </si>
  <si>
    <t xml:space="preserve">Q-12</t>
  </si>
  <si>
    <t xml:space="preserve">RC-21.1</t>
  </si>
  <si>
    <t xml:space="preserve">The AC says "opens 'All posts'", but nothing names or places that control. What is it called and where is it?</t>
  </si>
  <si>
    <t xml:space="preserve">TC-029, TC-030, TC-072, TC-077, TC-079, TC-105, TC-129</t>
  </si>
  <si>
    <t xml:space="preserve">Q-13</t>
  </si>
  <si>
    <t xml:space="preserve">RC-02.2, Field spec (Column headers)</t>
  </si>
  <si>
    <t xml:space="preserve">When 2 or more columns are missing, how are the names in {names} joined (for example "Shares, Saves" or "Shares and Saves"), and in what order?</t>
  </si>
  <si>
    <t xml:space="preserve">None</t>
  </si>
  <si>
    <t xml:space="preserve">Q-14</t>
  </si>
  <si>
    <t xml:space="preserve">RC-02.7, Field spec (File size)</t>
  </si>
  <si>
    <t xml:space="preserve">Is 5 MB 50,00,000 bytes or 52,42,880 bytes? The tester needs the exact figure to build the boundary files.</t>
  </si>
  <si>
    <t xml:space="preserve">TC-016, TC-017</t>
  </si>
  <si>
    <t xml:space="preserve">Devs</t>
  </si>
  <si>
    <t xml:space="preserve">Q-15</t>
  </si>
  <si>
    <t xml:space="preserve">Field spec (Date), BR-09</t>
  </si>
  <si>
    <t xml:space="preserve">"Or YYYY-MM-DD": are "2026-9-6" (1-digit month and day) and "2026/09/06" (slashes) accepted?</t>
  </si>
  <si>
    <t xml:space="preserve">Q-16</t>
  </si>
  <si>
    <t xml:space="preserve">BR-11</t>
  </si>
  <si>
    <t xml:space="preserve">Commas are allowed "in Indian or western grouping". Are badly grouped values such as "1,2,3,4" or "12,40,0" accepted or rejected?</t>
  </si>
  <si>
    <t xml:space="preserve">Q-17</t>
  </si>
  <si>
    <t xml:space="preserve">BR-13</t>
  </si>
  <si>
    <t xml:space="preserve">Does "all nine columns match after trimming spaces" compare the text or the value? For example, are these a match: "12,400" and "12400"; "IG" and "Instagram"; "03/09/2026" and "03-09-2026"; captions that differ only in capitals?</t>
  </si>
  <si>
    <t xml:space="preserve">Q-18</t>
  </si>
  <si>
    <t xml:space="preserve">RC-17.1 vs RC-25 (story) vs RC-25.1</t>
  </si>
  <si>
    <t xml:space="preserve">The RC-25 story says the client name is shown "instead of the file name". RC-25.1 says only that it "appears in the header". RC-17.1 (Must) says the header shows the file name. Once a client name is typed, should the file name still show? And what happens if the Client name box is cleared again?</t>
  </si>
  <si>
    <t xml:space="preserve">TC-108, TC-136</t>
  </si>
  <si>
    <t xml:space="preserve">Q-19</t>
  </si>
  <si>
    <t xml:space="preserve">BR-12 vs Field spec (Whole row: duplicate), RC-04.2</t>
  </si>
  <si>
    <t xml:space="preserve">BR-12 says a row with a blank Views, Likes or Comments "is skipped". But "Skipped" is the list for duplicates only, and RC-04.2 puts row 19 under "Rows to fix". Can BR-12's wording be corrected?</t>
  </si>
  <si>
    <t xml:space="preserve">Q-20</t>
  </si>
  <si>
    <t xml:space="preserve">RC-04.3 vs BR-08, BR-09</t>
  </si>
  <si>
    <t xml:space="preserve">RC-04.3 says one line per problem in a row. BR-08 says an unsupported platform shows only the platform message, and BR-09 reports only the first date problem. Neither exception is in RC-04.3 or the Field spec. Can they be added?</t>
  </si>
  <si>
    <t xml:space="preserve">TC-024, TC-025</t>
  </si>
  <si>
    <t xml:space="preserve">Q-21</t>
  </si>
  <si>
    <t xml:space="preserve">RC-04.6, BR-20 vs BR-17, RC-20.3</t>
  </si>
  <si>
    <t xml:space="preserve">The three lists sit "below the bottom 3". With fewer than 6 graded posts there is no bottom 3, only "All posts, best to worst". Where do the lists go then?</t>
  </si>
  <si>
    <t xml:space="preserve">TC-028</t>
  </si>
  <si>
    <t xml:space="preserve">Q-22</t>
  </si>
  <si>
    <t xml:space="preserve">RC-21.1 vs BR-17</t>
  </si>
  <si>
    <t xml:space="preserve">RC-21's "All posts" is sorted by date, earliest first. BR-17's "All posts, best to worst" is sorted by rate. With fewer than 6 graded posts, are both lists shown?</t>
  </si>
  <si>
    <t xml:space="preserve">TC-107, TC-129</t>
  </si>
  <si>
    <t xml:space="preserve">Q-23</t>
  </si>
  <si>
    <t xml:space="preserve">Stories sheet (Status column)</t>
  </si>
  <si>
    <t xml:space="preserve">Every AC is marked "Draft", but the requirements are described as baselined v1 on 28-09-2026. Which is correct?</t>
  </si>
  <si>
    <t xml:space="preserve">Q-24</t>
  </si>
  <si>
    <t xml:space="preserve">BR-06, BR-13</t>
  </si>
  <si>
    <t xml:space="preserve">A row with 0 views that also has another problem (for example, blank Likes or the wrong month): does it go under "Rows to fix" or "Too new to grade"? Two identical rows with 0 views: "Skipped" or "Too new to grade"? Does "0 views" count as one of the "checks" in BR-13?</t>
  </si>
  <si>
    <t xml:space="preserve">Q-25</t>
  </si>
  <si>
    <t xml:space="preserve">RC-04.4, BR-10</t>
  </si>
  <si>
    <t xml:space="preserve">If every row is too new or skipped but none has a problem, is "No rows could be graded. Fix the rows listed below and upload again." shown? When nothing is graded, is the header (month, file name, counts) shown? If no row has a real, non-future date, what is the report month?</t>
  </si>
  <si>
    <t xml:space="preserve">TC-026</t>
  </si>
  <si>
    <t xml:space="preserve">Q-26</t>
  </si>
  <si>
    <t xml:space="preserve">RC-01.4</t>
  </si>
  <si>
    <t xml:space="preserve">If the new upload is rejected at file level (.xlsx, over 5 MB, missing column, no rows), does the earlier report stay or get cleared? Does a typed Client name (RC-25) carry over to the new report?</t>
  </si>
  <si>
    <t xml:space="preserve">Q-27</t>
  </si>
  <si>
    <t xml:space="preserve">RC-02.1, RC-02.2, RC-02.6 to RC-02.8</t>
  </si>
  <si>
    <t xml:space="preserve">When a file breaks more than one file-level rule, which message wins? For example: over 5 MB and over 10,000 rows, or a .xlsx over 5 MB.</t>
  </si>
  <si>
    <t xml:space="preserve">Q-28</t>
  </si>
  <si>
    <t xml:space="preserve">Field spec (File type: Can't be read)</t>
  </si>
  <si>
    <t xml:space="preserve">No AC covers "Reach couldn't read this file. Save it again as CSV UTF-8 and upload it.", and nothing says what triggers it (for example, a CSV saved in a non-UTF-8 encoding, or a 0-byte file). What triggers it? Which message does a 0-byte file get?</t>
  </si>
  <si>
    <t xml:space="preserve">Q-29</t>
  </si>
  <si>
    <t xml:space="preserve">RC-04.2, RC-04.3</t>
  </si>
  <si>
    <t xml:space="preserve">The sort order of "Rows to fix" is shown only by example. Is it by row number? When one row has two problems, in what order are its two lines shown?</t>
  </si>
  <si>
    <t xml:space="preserve">TC-024</t>
  </si>
  <si>
    <t xml:space="preserve">Q-30</t>
  </si>
  <si>
    <t xml:space="preserve">RC-04.5</t>
  </si>
  <si>
    <t xml:space="preserve">This AC covers an empty "Rows to fix" list only. Are empty "Skipped" and "Too new to grade" sections hidden or shown empty? What order do the three lists come in?</t>
  </si>
  <si>
    <t xml:space="preserve">TC-027, TC-028</t>
  </si>
  <si>
    <t xml:space="preserve">Q-31</t>
  </si>
  <si>
    <t xml:space="preserve">RC-18, RC-14.3</t>
  </si>
  <si>
    <t xml:space="preserve">RC-18.2 gives the contents of the Instagram section only. What do the Overall and YouTube sections show? RC-14.3 gives a message for no graded YouTube posts; what does the Instagram section show when there are no graded Instagram posts? Until answered, the EP-3 test cases check only rate and grade in the Overall section, and no test case covers a file with no graded Instagram posts.</t>
  </si>
  <si>
    <t xml:space="preserve">TC-005, TC-011, TC-013, TC-044, TC-049, TC-051, TC-061, TC-074, TC-075, TC-078, TC-081, TC-082, TC-084, TC-085, TC-088, TC-092, TC-093, TC-094, TC-095, TC-096, TC-097, TC-098, TC-099, TC-100, TC-101, TC-102, TC-103, TC-104, TC-124, TC-134</t>
  </si>
  <si>
    <t xml:space="preserve">Q-32</t>
  </si>
  <si>
    <t xml:space="preserve">RC-20.3, RC-21.1</t>
  </si>
  <si>
    <t xml:space="preserve">What does each post in "All posts, best to worst" and in "All posts" show? Is it the same fields as RC-19.3?</t>
  </si>
  <si>
    <t xml:space="preserve">TC-038, TC-039, TC-072, TC-077, TC-079, TC-105, TC-107, TC-127, TC-129</t>
  </si>
  <si>
    <t xml:space="preserve">Q-33</t>
  </si>
  <si>
    <t xml:space="preserve">BR-02, BR-04</t>
  </si>
  <si>
    <t xml:space="preserve">Is a rate over 100% allowed (interactions greater than views)? How is it shown and graded? No test case is written for this yet.</t>
  </si>
  <si>
    <t xml:space="preserve">Q-34</t>
  </si>
  <si>
    <t xml:space="preserve">BR-19</t>
  </si>
  <si>
    <t xml:space="preserve">A caption with a line break inside quotes is one row in Excel but two lines in the CSV. How are the rows after it numbered?</t>
  </si>
  <si>
    <t xml:space="preserve">Q-35</t>
  </si>
  <si>
    <t xml:space="preserve">All stories</t>
  </si>
  <si>
    <t xml:space="preserve">Which laptop and phone browsers, and which versions, are in scope? This matters for RC-24.2 and RC-25.2, because some browsers refill form fields after a refresh.</t>
  </si>
  <si>
    <t xml:space="preserve">Q-36</t>
  </si>
  <si>
    <t xml:space="preserve">All epics</t>
  </si>
  <si>
    <t xml:space="preserve">Where an AC doesn't state a grade or a figure, the expected results in the test cases listed were worked out from BR-01 to BR-06 and the Field spec. Please confirm them.</t>
  </si>
  <si>
    <t xml:space="preserve">TC-005, TC-011, TC-013, TC-017, TC-019, TC-036, TC-043, TC-044, TC-048, TC-049, TC-051, TC-061, TC-068, TC-072, TC-073, TC-074, TC-075, TC-076, TC-077, TC-078, TC-079, TC-081, TC-082, TC-084, TC-085, TC-088, TC-118, TC-119, TC-120, TC-121, TC-124, TC-127, TC-128, TC-129, TC-134</t>
  </si>
  <si>
    <t xml:space="preserve">Q-37</t>
  </si>
  <si>
    <t xml:space="preserve">QA test cases (29-09-2026)</t>
  </si>
  <si>
    <t xml:space="preserve">RC-02.1, Field spec (File type)</t>
  </si>
  <si>
    <t xml:space="preserve">Is a file whose name ends in upper-case ".CSV" accepted as a CSV file?</t>
  </si>
  <si>
    <t xml:space="preserve">Q-38</t>
  </si>
  <si>
    <t xml:space="preserve">When a row appears three times, does the third copy say "Same as row" the first copy or the second copy?</t>
  </si>
  <si>
    <t xml:space="preserve">Q-39</t>
  </si>
  <si>
    <t xml:space="preserve">RC-02.1, RC-03.1</t>
  </si>
  <si>
    <t xml:space="preserve">Does the "Choose CSV file" picker let the user pick a .xlsx or .txt file at all? If it hides them, these checks can only be run by drag and drop, which is how the test cases are written.</t>
  </si>
  <si>
    <t xml:space="preserve">TC-006, TC-007, TC-020</t>
  </si>
  <si>
    <t xml:space="preserve">Q-40</t>
  </si>
  <si>
    <t xml:space="preserve">What does the header say when a count is 0 or 1 (for example "0 rows not graded" or "1 post graded")? No test case checks the header counts for such files until this is answered.</t>
  </si>
  <si>
    <t xml:space="preserve">Q-41</t>
  </si>
  <si>
    <t xml:space="preserve">RC-05.1, RC-05.2</t>
  </si>
  <si>
    <t xml:space="preserve">The dates of rows 4 and 7 can be seen only in "All posts", which is a Could story (RC-21). If RC-21 isn't built, the test cases can only check that no wrong-month line appears for these rows. Is that enough?</t>
  </si>
  <si>
    <t xml:space="preserve">TC-029, TC-030</t>
  </si>
  <si>
    <t xml:space="preserve">Q-42</t>
  </si>
  <si>
    <t xml:space="preserve">RC-24.1</t>
  </si>
  <si>
    <t xml:space="preserve">Does "Start again" also clear the Client name box (RC-25)?</t>
  </si>
  <si>
    <t xml:space="preserve">TC-133</t>
  </si>
  <si>
    <t xml:space="preserve">Q-43</t>
  </si>
  <si>
    <t xml:space="preserve">RC-22.1, RC-27.1, BR-20</t>
  </si>
  <si>
    <t xml:space="preserve">Both the grade scale and the formula go "below the grades". In what order, and above or below the top 3, bottom 3 and the three lists? The test cases only check that each text is shown.</t>
  </si>
  <si>
    <t xml:space="preserve">TC-130, TC-131</t>
  </si>
  <si>
    <t xml:space="preserve">Q-44</t>
  </si>
  <si>
    <t xml:space="preserve">Field spec (Shares, Saves)</t>
  </si>
  <si>
    <t xml:space="preserve">The Field spec says spaces at either end are ignored for Views, Likes and Comments, but doesn't say so for Shares and Saves. Is " 5 " accepted in Shares and Saves?</t>
  </si>
</sst>
</file>

<file path=xl/styles.xml><?xml version="1.0" encoding="utf-8"?>
<styleSheet xmlns="http://schemas.openxmlformats.org/spreadsheetml/2006/main">
  <numFmts count="2">
    <numFmt numFmtId="164" formatCode="General"/>
    <numFmt numFmtId="165" formatCode="dd\-mm\-yyyy"/>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8CBAD"/>
        <bgColor rgb="FFFFF2CC"/>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5"/>
    <col collapsed="false" customWidth="true" hidden="false" outlineLevel="0" max="2" min="2" style="1" width="10"/>
  </cols>
  <sheetData>
    <row r="1" customFormat="false" ht="17.25" hidden="false" customHeight="true" outlineLevel="0" collapsed="false">
      <c r="A1" s="2" t="s">
        <v>0</v>
      </c>
      <c r="B1" s="3"/>
    </row>
    <row r="2" customFormat="false" ht="15" hidden="false" customHeight="true" outlineLevel="0" collapsed="false">
      <c r="A2" s="3" t="s">
        <v>1</v>
      </c>
      <c r="B2" s="3"/>
    </row>
    <row r="3" customFormat="false" ht="15" hidden="false" customHeight="true" outlineLevel="0" collapsed="false">
      <c r="A3" s="3" t="s">
        <v>2</v>
      </c>
      <c r="B3" s="3"/>
    </row>
    <row r="4" customFormat="false" ht="15" hidden="false" customHeight="true" outlineLevel="0" collapsed="false">
      <c r="A4" s="4" t="s">
        <v>3</v>
      </c>
      <c r="B4" s="3"/>
    </row>
    <row r="5" customFormat="false" ht="23.25" hidden="false" customHeight="true" outlineLevel="0" collapsed="false">
      <c r="A5" s="3" t="s">
        <v>4</v>
      </c>
      <c r="B5" s="3"/>
    </row>
    <row r="6" customFormat="false" ht="15" hidden="false" customHeight="true" outlineLevel="0" collapsed="false">
      <c r="A6" s="3" t="s">
        <v>5</v>
      </c>
      <c r="B6" s="3"/>
    </row>
    <row r="7" customFormat="false" ht="15" hidden="false" customHeight="true" outlineLevel="0" collapsed="false">
      <c r="A7" s="3" t="s">
        <v>6</v>
      </c>
      <c r="B7" s="3"/>
    </row>
    <row r="8" customFormat="false" ht="15" hidden="false" customHeight="true" outlineLevel="0" collapsed="false">
      <c r="A8" s="3" t="s">
        <v>7</v>
      </c>
      <c r="B8" s="3"/>
    </row>
    <row r="9" customFormat="false" ht="15" hidden="false" customHeight="true" outlineLevel="0" collapsed="false">
      <c r="A9" s="3"/>
      <c r="B9" s="3"/>
    </row>
    <row r="10" customFormat="false" ht="15" hidden="false" customHeight="true" outlineLevel="0" collapsed="false">
      <c r="A10" s="4" t="s">
        <v>8</v>
      </c>
      <c r="B10" s="4" t="s">
        <v>9</v>
      </c>
    </row>
    <row r="11" customFormat="false" ht="15" hidden="false" customHeight="true" outlineLevel="0" collapsed="false">
      <c r="A11" s="3" t="s">
        <v>10</v>
      </c>
      <c r="B11" s="3" t="n">
        <f aca="false">COUNTA('Open questions'!A2:A45)</f>
        <v>44</v>
      </c>
    </row>
    <row r="12" customFormat="false" ht="15" hidden="false" customHeight="true" outlineLevel="0" collapsed="false">
      <c r="A12" s="3" t="s">
        <v>11</v>
      </c>
      <c r="B12" s="3" t="n">
        <f aca="false">COUNTIF('Open questions'!F2:F45,"Blocking")</f>
        <v>6</v>
      </c>
    </row>
    <row r="13" customFormat="false" ht="15" hidden="false" customHeight="true" outlineLevel="0" collapsed="false">
      <c r="A13" s="3" t="s">
        <v>12</v>
      </c>
      <c r="B13" s="3" t="n">
        <f aca="false">COUNTIF('Open questions'!F2:F45,"Not blocking")</f>
        <v>38</v>
      </c>
    </row>
    <row r="14" customFormat="false" ht="15" hidden="false" customHeight="true" outlineLevel="0" collapsed="false">
      <c r="A14" s="3" t="s">
        <v>13</v>
      </c>
      <c r="B14" s="3" t="n">
        <f aca="false">COUNTIF('Open questions'!L2:L45,"Open")</f>
        <v>44</v>
      </c>
    </row>
    <row r="15" customFormat="false" ht="15" hidden="false" customHeight="true" outlineLevel="0" collapsed="false">
      <c r="A15" s="3" t="s">
        <v>14</v>
      </c>
      <c r="B15" s="3" t="n">
        <f aca="false">COUNTIFS('Open questions'!F2:F45,"Blocking",'Open questions'!L2:L45,"Open")</f>
        <v>6</v>
      </c>
    </row>
    <row r="16" customFormat="false" ht="15" hidden="false" customHeight="true" outlineLevel="0" collapsed="false">
      <c r="A16" s="3" t="s">
        <v>15</v>
      </c>
      <c r="B16" s="3" t="n">
        <f aca="false">COUNTIF('Open questions'!L2:L45,"Answered")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22"/>
    <col collapsed="false" customWidth="true" hidden="false" outlineLevel="0" max="4" min="4" style="0" width="26"/>
    <col collapsed="false" customWidth="true" hidden="false" outlineLevel="0" max="5" min="5" style="0" width="70"/>
    <col collapsed="false" customWidth="true" hidden="false" outlineLevel="0" max="6" min="6" style="0" width="13"/>
    <col collapsed="false" customWidth="true" hidden="false" outlineLevel="0" max="7" min="7" style="0" width="30"/>
    <col collapsed="false" customWidth="true" hidden="false" outlineLevel="0" max="8" min="8" style="0" width="14"/>
    <col collapsed="false" customWidth="true" hidden="false" outlineLevel="0" max="9" min="9" style="0" width="40"/>
    <col collapsed="false" customWidth="true" hidden="false" outlineLevel="0" max="11" min="10" style="0" width="16"/>
    <col collapsed="false" customWidth="true" hidden="false" outlineLevel="0" max="12" min="12" style="0" width="11"/>
  </cols>
  <sheetData>
    <row r="1" customFormat="false" ht="35.05" hidden="false" customHeight="false" outlineLevel="0" collapsed="false">
      <c r="A1" s="5" t="s">
        <v>16</v>
      </c>
      <c r="B1" s="5" t="s">
        <v>17</v>
      </c>
      <c r="C1" s="5" t="s">
        <v>18</v>
      </c>
      <c r="D1" s="5" t="s">
        <v>19</v>
      </c>
      <c r="E1" s="5" t="s">
        <v>20</v>
      </c>
      <c r="F1" s="5" t="s">
        <v>11</v>
      </c>
      <c r="G1" s="5" t="s">
        <v>21</v>
      </c>
      <c r="H1" s="5" t="s">
        <v>22</v>
      </c>
      <c r="I1" s="5" t="s">
        <v>23</v>
      </c>
      <c r="J1" s="5" t="s">
        <v>24</v>
      </c>
      <c r="K1" s="5" t="s">
        <v>25</v>
      </c>
      <c r="L1" s="5" t="s">
        <v>26</v>
      </c>
    </row>
    <row r="2" customFormat="false" ht="46.25" hidden="false" customHeight="false" outlineLevel="0" collapsed="false">
      <c r="A2" s="6" t="s">
        <v>27</v>
      </c>
      <c r="B2" s="6" t="s">
        <v>28</v>
      </c>
      <c r="C2" s="6" t="s">
        <v>29</v>
      </c>
      <c r="D2" s="6" t="s">
        <v>30</v>
      </c>
      <c r="E2" s="6" t="s">
        <v>31</v>
      </c>
      <c r="F2" s="7" t="s">
        <v>11</v>
      </c>
      <c r="G2" s="6" t="s">
        <v>32</v>
      </c>
      <c r="H2" s="6" t="s">
        <v>33</v>
      </c>
      <c r="I2" s="8"/>
      <c r="J2" s="8"/>
      <c r="K2" s="9"/>
      <c r="L2" s="8" t="s">
        <v>34</v>
      </c>
    </row>
    <row r="3" customFormat="false" ht="35.05" hidden="false" customHeight="false" outlineLevel="0" collapsed="false">
      <c r="A3" s="6" t="s">
        <v>35</v>
      </c>
      <c r="B3" s="6" t="s">
        <v>36</v>
      </c>
      <c r="C3" s="6" t="s">
        <v>29</v>
      </c>
      <c r="D3" s="6" t="s">
        <v>37</v>
      </c>
      <c r="E3" s="6" t="s">
        <v>38</v>
      </c>
      <c r="F3" s="7" t="s">
        <v>11</v>
      </c>
      <c r="G3" s="6" t="s">
        <v>39</v>
      </c>
      <c r="H3" s="6" t="s">
        <v>33</v>
      </c>
      <c r="I3" s="8"/>
      <c r="J3" s="8"/>
      <c r="K3" s="9"/>
      <c r="L3" s="8" t="s">
        <v>34</v>
      </c>
    </row>
    <row r="4" customFormat="false" ht="46.25" hidden="false" customHeight="false" outlineLevel="0" collapsed="false">
      <c r="A4" s="6" t="s">
        <v>40</v>
      </c>
      <c r="B4" s="6" t="s">
        <v>28</v>
      </c>
      <c r="C4" s="6" t="s">
        <v>29</v>
      </c>
      <c r="D4" s="6" t="s">
        <v>41</v>
      </c>
      <c r="E4" s="6" t="s">
        <v>42</v>
      </c>
      <c r="F4" s="7" t="s">
        <v>11</v>
      </c>
      <c r="G4" s="6" t="s">
        <v>43</v>
      </c>
      <c r="H4" s="6" t="s">
        <v>33</v>
      </c>
      <c r="I4" s="8"/>
      <c r="J4" s="8"/>
      <c r="K4" s="9"/>
      <c r="L4" s="8" t="s">
        <v>34</v>
      </c>
    </row>
    <row r="5" customFormat="false" ht="57.45" hidden="false" customHeight="false" outlineLevel="0" collapsed="false">
      <c r="A5" s="6" t="s">
        <v>44</v>
      </c>
      <c r="B5" s="6" t="s">
        <v>28</v>
      </c>
      <c r="C5" s="6" t="s">
        <v>45</v>
      </c>
      <c r="D5" s="6" t="s">
        <v>46</v>
      </c>
      <c r="E5" s="6" t="s">
        <v>47</v>
      </c>
      <c r="F5" s="7" t="s">
        <v>11</v>
      </c>
      <c r="G5" s="6" t="s">
        <v>48</v>
      </c>
      <c r="H5" s="6" t="s">
        <v>33</v>
      </c>
      <c r="I5" s="8"/>
      <c r="J5" s="8"/>
      <c r="K5" s="9"/>
      <c r="L5" s="8" t="s">
        <v>34</v>
      </c>
    </row>
    <row r="6" customFormat="false" ht="35.05" hidden="false" customHeight="false" outlineLevel="0" collapsed="false">
      <c r="A6" s="6" t="s">
        <v>49</v>
      </c>
      <c r="B6" s="6" t="s">
        <v>50</v>
      </c>
      <c r="C6" s="6" t="s">
        <v>29</v>
      </c>
      <c r="D6" s="6" t="s">
        <v>51</v>
      </c>
      <c r="E6" s="6" t="s">
        <v>52</v>
      </c>
      <c r="F6" s="7" t="s">
        <v>11</v>
      </c>
      <c r="G6" s="6" t="s">
        <v>53</v>
      </c>
      <c r="H6" s="6" t="s">
        <v>33</v>
      </c>
      <c r="I6" s="8"/>
      <c r="J6" s="8"/>
      <c r="K6" s="9"/>
      <c r="L6" s="8" t="s">
        <v>34</v>
      </c>
    </row>
    <row r="7" customFormat="false" ht="46.25" hidden="false" customHeight="false" outlineLevel="0" collapsed="false">
      <c r="A7" s="6" t="s">
        <v>54</v>
      </c>
      <c r="B7" s="6" t="s">
        <v>50</v>
      </c>
      <c r="C7" s="6" t="s">
        <v>55</v>
      </c>
      <c r="D7" s="6" t="s">
        <v>56</v>
      </c>
      <c r="E7" s="6" t="s">
        <v>57</v>
      </c>
      <c r="F7" s="7" t="s">
        <v>11</v>
      </c>
      <c r="G7" s="6" t="s">
        <v>58</v>
      </c>
      <c r="H7" s="6" t="s">
        <v>33</v>
      </c>
      <c r="I7" s="8"/>
      <c r="J7" s="8"/>
      <c r="K7" s="9"/>
      <c r="L7" s="8" t="s">
        <v>34</v>
      </c>
    </row>
    <row r="8" customFormat="false" ht="35.05" hidden="false" customHeight="false" outlineLevel="0" collapsed="false">
      <c r="A8" s="6" t="s">
        <v>59</v>
      </c>
      <c r="B8" s="6" t="s">
        <v>28</v>
      </c>
      <c r="C8" s="6" t="s">
        <v>29</v>
      </c>
      <c r="D8" s="6" t="s">
        <v>60</v>
      </c>
      <c r="E8" s="6" t="s">
        <v>61</v>
      </c>
      <c r="F8" s="6" t="s">
        <v>12</v>
      </c>
      <c r="G8" s="6" t="s">
        <v>62</v>
      </c>
      <c r="H8" s="6" t="s">
        <v>33</v>
      </c>
      <c r="I8" s="8"/>
      <c r="J8" s="8"/>
      <c r="K8" s="9"/>
      <c r="L8" s="8" t="s">
        <v>34</v>
      </c>
    </row>
    <row r="9" customFormat="false" ht="46.25" hidden="false" customHeight="false" outlineLevel="0" collapsed="false">
      <c r="A9" s="6" t="s">
        <v>63</v>
      </c>
      <c r="B9" s="6" t="s">
        <v>36</v>
      </c>
      <c r="C9" s="6" t="s">
        <v>29</v>
      </c>
      <c r="D9" s="6" t="s">
        <v>64</v>
      </c>
      <c r="E9" s="6" t="s">
        <v>65</v>
      </c>
      <c r="F9" s="6" t="s">
        <v>12</v>
      </c>
      <c r="G9" s="6" t="s">
        <v>66</v>
      </c>
      <c r="H9" s="6" t="s">
        <v>33</v>
      </c>
      <c r="I9" s="8"/>
      <c r="J9" s="8"/>
      <c r="K9" s="9"/>
      <c r="L9" s="8" t="s">
        <v>34</v>
      </c>
    </row>
    <row r="10" customFormat="false" ht="23.85" hidden="false" customHeight="false" outlineLevel="0" collapsed="false">
      <c r="A10" s="6" t="s">
        <v>67</v>
      </c>
      <c r="B10" s="6" t="s">
        <v>28</v>
      </c>
      <c r="C10" s="6" t="s">
        <v>29</v>
      </c>
      <c r="D10" s="6" t="s">
        <v>68</v>
      </c>
      <c r="E10" s="6" t="s">
        <v>69</v>
      </c>
      <c r="F10" s="6" t="s">
        <v>12</v>
      </c>
      <c r="G10" s="6" t="s">
        <v>70</v>
      </c>
      <c r="H10" s="6" t="s">
        <v>71</v>
      </c>
      <c r="I10" s="8"/>
      <c r="J10" s="8"/>
      <c r="K10" s="9"/>
      <c r="L10" s="8" t="s">
        <v>34</v>
      </c>
    </row>
    <row r="11" customFormat="false" ht="23.85" hidden="false" customHeight="false" outlineLevel="0" collapsed="false">
      <c r="A11" s="6" t="s">
        <v>72</v>
      </c>
      <c r="B11" s="6" t="s">
        <v>28</v>
      </c>
      <c r="C11" s="6" t="s">
        <v>29</v>
      </c>
      <c r="D11" s="6" t="s">
        <v>73</v>
      </c>
      <c r="E11" s="6" t="s">
        <v>74</v>
      </c>
      <c r="F11" s="6" t="s">
        <v>12</v>
      </c>
      <c r="G11" s="6" t="s">
        <v>75</v>
      </c>
      <c r="H11" s="6" t="s">
        <v>33</v>
      </c>
      <c r="I11" s="8"/>
      <c r="J11" s="8"/>
      <c r="K11" s="9"/>
      <c r="L11" s="8" t="s">
        <v>34</v>
      </c>
    </row>
    <row r="12" customFormat="false" ht="23.85" hidden="false" customHeight="false" outlineLevel="0" collapsed="false">
      <c r="A12" s="6" t="s">
        <v>76</v>
      </c>
      <c r="B12" s="6" t="s">
        <v>28</v>
      </c>
      <c r="C12" s="6" t="s">
        <v>29</v>
      </c>
      <c r="D12" s="6" t="s">
        <v>77</v>
      </c>
      <c r="E12" s="6" t="s">
        <v>78</v>
      </c>
      <c r="F12" s="6" t="s">
        <v>12</v>
      </c>
      <c r="G12" s="6" t="s">
        <v>79</v>
      </c>
      <c r="H12" s="6" t="s">
        <v>33</v>
      </c>
      <c r="I12" s="8"/>
      <c r="J12" s="8"/>
      <c r="K12" s="9"/>
      <c r="L12" s="8" t="s">
        <v>34</v>
      </c>
    </row>
    <row r="13" customFormat="false" ht="23.85" hidden="false" customHeight="false" outlineLevel="0" collapsed="false">
      <c r="A13" s="6" t="s">
        <v>80</v>
      </c>
      <c r="B13" s="6" t="s">
        <v>36</v>
      </c>
      <c r="C13" s="6" t="s">
        <v>29</v>
      </c>
      <c r="D13" s="6" t="s">
        <v>81</v>
      </c>
      <c r="E13" s="6" t="s">
        <v>82</v>
      </c>
      <c r="F13" s="6" t="s">
        <v>12</v>
      </c>
      <c r="G13" s="6" t="s">
        <v>83</v>
      </c>
      <c r="H13" s="6" t="s">
        <v>33</v>
      </c>
      <c r="I13" s="8"/>
      <c r="J13" s="8"/>
      <c r="K13" s="9"/>
      <c r="L13" s="8" t="s">
        <v>34</v>
      </c>
    </row>
    <row r="14" customFormat="false" ht="23.85" hidden="false" customHeight="false" outlineLevel="0" collapsed="false">
      <c r="A14" s="6" t="s">
        <v>84</v>
      </c>
      <c r="B14" s="6" t="s">
        <v>28</v>
      </c>
      <c r="C14" s="6" t="s">
        <v>29</v>
      </c>
      <c r="D14" s="6" t="s">
        <v>85</v>
      </c>
      <c r="E14" s="6" t="s">
        <v>86</v>
      </c>
      <c r="F14" s="6" t="s">
        <v>12</v>
      </c>
      <c r="G14" s="6" t="s">
        <v>87</v>
      </c>
      <c r="H14" s="6" t="s">
        <v>33</v>
      </c>
      <c r="I14" s="8"/>
      <c r="J14" s="8"/>
      <c r="K14" s="9"/>
      <c r="L14" s="8" t="s">
        <v>34</v>
      </c>
    </row>
    <row r="15" customFormat="false" ht="23.85" hidden="false" customHeight="false" outlineLevel="0" collapsed="false">
      <c r="A15" s="6" t="s">
        <v>88</v>
      </c>
      <c r="B15" s="6" t="s">
        <v>28</v>
      </c>
      <c r="C15" s="6" t="s">
        <v>29</v>
      </c>
      <c r="D15" s="6" t="s">
        <v>89</v>
      </c>
      <c r="E15" s="6" t="s">
        <v>90</v>
      </c>
      <c r="F15" s="6" t="s">
        <v>12</v>
      </c>
      <c r="G15" s="6" t="s">
        <v>91</v>
      </c>
      <c r="H15" s="6" t="s">
        <v>92</v>
      </c>
      <c r="I15" s="8"/>
      <c r="J15" s="8"/>
      <c r="K15" s="9"/>
      <c r="L15" s="8" t="s">
        <v>34</v>
      </c>
    </row>
    <row r="16" customFormat="false" ht="23.85" hidden="false" customHeight="false" outlineLevel="0" collapsed="false">
      <c r="A16" s="6" t="s">
        <v>93</v>
      </c>
      <c r="B16" s="6" t="s">
        <v>28</v>
      </c>
      <c r="C16" s="6" t="s">
        <v>29</v>
      </c>
      <c r="D16" s="6" t="s">
        <v>94</v>
      </c>
      <c r="E16" s="6" t="s">
        <v>95</v>
      </c>
      <c r="F16" s="6" t="s">
        <v>12</v>
      </c>
      <c r="G16" s="6" t="s">
        <v>87</v>
      </c>
      <c r="H16" s="6" t="s">
        <v>33</v>
      </c>
      <c r="I16" s="8"/>
      <c r="J16" s="8"/>
      <c r="K16" s="9"/>
      <c r="L16" s="8" t="s">
        <v>34</v>
      </c>
    </row>
    <row r="17" customFormat="false" ht="23.85" hidden="false" customHeight="false" outlineLevel="0" collapsed="false">
      <c r="A17" s="6" t="s">
        <v>96</v>
      </c>
      <c r="B17" s="6" t="s">
        <v>28</v>
      </c>
      <c r="C17" s="6" t="s">
        <v>29</v>
      </c>
      <c r="D17" s="6" t="s">
        <v>97</v>
      </c>
      <c r="E17" s="6" t="s">
        <v>98</v>
      </c>
      <c r="F17" s="6" t="s">
        <v>12</v>
      </c>
      <c r="G17" s="6" t="s">
        <v>87</v>
      </c>
      <c r="H17" s="6" t="s">
        <v>33</v>
      </c>
      <c r="I17" s="8"/>
      <c r="J17" s="8"/>
      <c r="K17" s="9"/>
      <c r="L17" s="8" t="s">
        <v>34</v>
      </c>
    </row>
    <row r="18" customFormat="false" ht="35.05" hidden="false" customHeight="false" outlineLevel="0" collapsed="false">
      <c r="A18" s="6" t="s">
        <v>99</v>
      </c>
      <c r="B18" s="6" t="s">
        <v>28</v>
      </c>
      <c r="C18" s="6" t="s">
        <v>29</v>
      </c>
      <c r="D18" s="6" t="s">
        <v>100</v>
      </c>
      <c r="E18" s="6" t="s">
        <v>101</v>
      </c>
      <c r="F18" s="6" t="s">
        <v>12</v>
      </c>
      <c r="G18" s="6" t="s">
        <v>87</v>
      </c>
      <c r="H18" s="6" t="s">
        <v>33</v>
      </c>
      <c r="I18" s="8"/>
      <c r="J18" s="8"/>
      <c r="K18" s="9"/>
      <c r="L18" s="8" t="s">
        <v>34</v>
      </c>
    </row>
    <row r="19" customFormat="false" ht="46.25" hidden="false" customHeight="false" outlineLevel="0" collapsed="false">
      <c r="A19" s="6" t="s">
        <v>102</v>
      </c>
      <c r="B19" s="6" t="s">
        <v>28</v>
      </c>
      <c r="C19" s="6" t="s">
        <v>45</v>
      </c>
      <c r="D19" s="6" t="s">
        <v>103</v>
      </c>
      <c r="E19" s="6" t="s">
        <v>104</v>
      </c>
      <c r="F19" s="6" t="s">
        <v>12</v>
      </c>
      <c r="G19" s="6" t="s">
        <v>105</v>
      </c>
      <c r="H19" s="6" t="s">
        <v>33</v>
      </c>
      <c r="I19" s="8"/>
      <c r="J19" s="8"/>
      <c r="K19" s="9"/>
      <c r="L19" s="8" t="s">
        <v>34</v>
      </c>
    </row>
    <row r="20" customFormat="false" ht="35.05" hidden="false" customHeight="false" outlineLevel="0" collapsed="false">
      <c r="A20" s="6" t="s">
        <v>106</v>
      </c>
      <c r="B20" s="6" t="s">
        <v>28</v>
      </c>
      <c r="C20" s="6" t="s">
        <v>45</v>
      </c>
      <c r="D20" s="6" t="s">
        <v>107</v>
      </c>
      <c r="E20" s="6" t="s">
        <v>108</v>
      </c>
      <c r="F20" s="6" t="s">
        <v>12</v>
      </c>
      <c r="G20" s="6" t="s">
        <v>87</v>
      </c>
      <c r="H20" s="6" t="s">
        <v>33</v>
      </c>
      <c r="I20" s="8"/>
      <c r="J20" s="8"/>
      <c r="K20" s="9"/>
      <c r="L20" s="8" t="s">
        <v>34</v>
      </c>
    </row>
    <row r="21" customFormat="false" ht="35.05" hidden="false" customHeight="false" outlineLevel="0" collapsed="false">
      <c r="A21" s="6" t="s">
        <v>109</v>
      </c>
      <c r="B21" s="6" t="s">
        <v>28</v>
      </c>
      <c r="C21" s="6" t="s">
        <v>45</v>
      </c>
      <c r="D21" s="6" t="s">
        <v>110</v>
      </c>
      <c r="E21" s="6" t="s">
        <v>111</v>
      </c>
      <c r="F21" s="6" t="s">
        <v>12</v>
      </c>
      <c r="G21" s="6" t="s">
        <v>112</v>
      </c>
      <c r="H21" s="6" t="s">
        <v>33</v>
      </c>
      <c r="I21" s="8"/>
      <c r="J21" s="8"/>
      <c r="K21" s="9"/>
      <c r="L21" s="8" t="s">
        <v>34</v>
      </c>
    </row>
    <row r="22" customFormat="false" ht="23.85" hidden="false" customHeight="false" outlineLevel="0" collapsed="false">
      <c r="A22" s="6" t="s">
        <v>113</v>
      </c>
      <c r="B22" s="6" t="s">
        <v>28</v>
      </c>
      <c r="C22" s="6" t="s">
        <v>45</v>
      </c>
      <c r="D22" s="6" t="s">
        <v>114</v>
      </c>
      <c r="E22" s="6" t="s">
        <v>115</v>
      </c>
      <c r="F22" s="6" t="s">
        <v>12</v>
      </c>
      <c r="G22" s="6" t="s">
        <v>116</v>
      </c>
      <c r="H22" s="6" t="s">
        <v>33</v>
      </c>
      <c r="I22" s="8"/>
      <c r="J22" s="8"/>
      <c r="K22" s="9"/>
      <c r="L22" s="8" t="s">
        <v>34</v>
      </c>
    </row>
    <row r="23" customFormat="false" ht="23.85" hidden="false" customHeight="false" outlineLevel="0" collapsed="false">
      <c r="A23" s="6" t="s">
        <v>117</v>
      </c>
      <c r="B23" s="6" t="s">
        <v>28</v>
      </c>
      <c r="C23" s="6" t="s">
        <v>45</v>
      </c>
      <c r="D23" s="6" t="s">
        <v>118</v>
      </c>
      <c r="E23" s="6" t="s">
        <v>119</v>
      </c>
      <c r="F23" s="6" t="s">
        <v>12</v>
      </c>
      <c r="G23" s="6" t="s">
        <v>120</v>
      </c>
      <c r="H23" s="6" t="s">
        <v>33</v>
      </c>
      <c r="I23" s="8"/>
      <c r="J23" s="8"/>
      <c r="K23" s="9"/>
      <c r="L23" s="8" t="s">
        <v>34</v>
      </c>
    </row>
    <row r="24" customFormat="false" ht="23.85" hidden="false" customHeight="false" outlineLevel="0" collapsed="false">
      <c r="A24" s="6" t="s">
        <v>121</v>
      </c>
      <c r="B24" s="6" t="s">
        <v>28</v>
      </c>
      <c r="C24" s="6" t="s">
        <v>45</v>
      </c>
      <c r="D24" s="6" t="s">
        <v>122</v>
      </c>
      <c r="E24" s="6" t="s">
        <v>123</v>
      </c>
      <c r="F24" s="6" t="s">
        <v>12</v>
      </c>
      <c r="G24" s="6" t="s">
        <v>66</v>
      </c>
      <c r="H24" s="6" t="s">
        <v>33</v>
      </c>
      <c r="I24" s="8"/>
      <c r="J24" s="8"/>
      <c r="K24" s="9"/>
      <c r="L24" s="8" t="s">
        <v>34</v>
      </c>
    </row>
    <row r="25" customFormat="false" ht="46.25" hidden="false" customHeight="false" outlineLevel="0" collapsed="false">
      <c r="A25" s="6" t="s">
        <v>124</v>
      </c>
      <c r="B25" s="6" t="s">
        <v>28</v>
      </c>
      <c r="C25" s="6" t="s">
        <v>55</v>
      </c>
      <c r="D25" s="6" t="s">
        <v>125</v>
      </c>
      <c r="E25" s="6" t="s">
        <v>126</v>
      </c>
      <c r="F25" s="6" t="s">
        <v>12</v>
      </c>
      <c r="G25" s="6" t="s">
        <v>87</v>
      </c>
      <c r="H25" s="6" t="s">
        <v>33</v>
      </c>
      <c r="I25" s="8"/>
      <c r="J25" s="8"/>
      <c r="K25" s="9"/>
      <c r="L25" s="8" t="s">
        <v>34</v>
      </c>
    </row>
    <row r="26" customFormat="false" ht="46.25" hidden="false" customHeight="false" outlineLevel="0" collapsed="false">
      <c r="A26" s="6" t="s">
        <v>127</v>
      </c>
      <c r="B26" s="6" t="s">
        <v>28</v>
      </c>
      <c r="C26" s="6" t="s">
        <v>55</v>
      </c>
      <c r="D26" s="6" t="s">
        <v>128</v>
      </c>
      <c r="E26" s="6" t="s">
        <v>129</v>
      </c>
      <c r="F26" s="6" t="s">
        <v>12</v>
      </c>
      <c r="G26" s="6" t="s">
        <v>130</v>
      </c>
      <c r="H26" s="6" t="s">
        <v>33</v>
      </c>
      <c r="I26" s="8"/>
      <c r="J26" s="8"/>
      <c r="K26" s="9"/>
      <c r="L26" s="8" t="s">
        <v>34</v>
      </c>
    </row>
    <row r="27" customFormat="false" ht="35.05" hidden="false" customHeight="false" outlineLevel="0" collapsed="false">
      <c r="A27" s="6" t="s">
        <v>131</v>
      </c>
      <c r="B27" s="6" t="s">
        <v>28</v>
      </c>
      <c r="C27" s="6" t="s">
        <v>55</v>
      </c>
      <c r="D27" s="6" t="s">
        <v>132</v>
      </c>
      <c r="E27" s="6" t="s">
        <v>133</v>
      </c>
      <c r="F27" s="6" t="s">
        <v>12</v>
      </c>
      <c r="G27" s="6" t="s">
        <v>87</v>
      </c>
      <c r="H27" s="6" t="s">
        <v>33</v>
      </c>
      <c r="I27" s="8"/>
      <c r="J27" s="8"/>
      <c r="K27" s="9"/>
      <c r="L27" s="8" t="s">
        <v>34</v>
      </c>
    </row>
    <row r="28" customFormat="false" ht="23.85" hidden="false" customHeight="false" outlineLevel="0" collapsed="false">
      <c r="A28" s="6" t="s">
        <v>134</v>
      </c>
      <c r="B28" s="6" t="s">
        <v>28</v>
      </c>
      <c r="C28" s="6" t="s">
        <v>55</v>
      </c>
      <c r="D28" s="6" t="s">
        <v>135</v>
      </c>
      <c r="E28" s="6" t="s">
        <v>136</v>
      </c>
      <c r="F28" s="6" t="s">
        <v>12</v>
      </c>
      <c r="G28" s="6" t="s">
        <v>87</v>
      </c>
      <c r="H28" s="6" t="s">
        <v>33</v>
      </c>
      <c r="I28" s="8"/>
      <c r="J28" s="8"/>
      <c r="K28" s="9"/>
      <c r="L28" s="8" t="s">
        <v>34</v>
      </c>
    </row>
    <row r="29" customFormat="false" ht="35.05" hidden="false" customHeight="false" outlineLevel="0" collapsed="false">
      <c r="A29" s="6" t="s">
        <v>137</v>
      </c>
      <c r="B29" s="6" t="s">
        <v>28</v>
      </c>
      <c r="C29" s="6" t="s">
        <v>55</v>
      </c>
      <c r="D29" s="6" t="s">
        <v>138</v>
      </c>
      <c r="E29" s="6" t="s">
        <v>139</v>
      </c>
      <c r="F29" s="6" t="s">
        <v>12</v>
      </c>
      <c r="G29" s="6" t="s">
        <v>87</v>
      </c>
      <c r="H29" s="6" t="s">
        <v>71</v>
      </c>
      <c r="I29" s="8"/>
      <c r="J29" s="8"/>
      <c r="K29" s="9"/>
      <c r="L29" s="8" t="s">
        <v>34</v>
      </c>
    </row>
    <row r="30" customFormat="false" ht="23.85" hidden="false" customHeight="false" outlineLevel="0" collapsed="false">
      <c r="A30" s="6" t="s">
        <v>140</v>
      </c>
      <c r="B30" s="6" t="s">
        <v>28</v>
      </c>
      <c r="C30" s="6" t="s">
        <v>55</v>
      </c>
      <c r="D30" s="6" t="s">
        <v>141</v>
      </c>
      <c r="E30" s="6" t="s">
        <v>142</v>
      </c>
      <c r="F30" s="6" t="s">
        <v>12</v>
      </c>
      <c r="G30" s="6" t="s">
        <v>143</v>
      </c>
      <c r="H30" s="6" t="s">
        <v>33</v>
      </c>
      <c r="I30" s="8"/>
      <c r="J30" s="8"/>
      <c r="K30" s="9"/>
      <c r="L30" s="8" t="s">
        <v>34</v>
      </c>
    </row>
    <row r="31" customFormat="false" ht="23.85" hidden="false" customHeight="false" outlineLevel="0" collapsed="false">
      <c r="A31" s="6" t="s">
        <v>144</v>
      </c>
      <c r="B31" s="6" t="s">
        <v>28</v>
      </c>
      <c r="C31" s="6" t="s">
        <v>55</v>
      </c>
      <c r="D31" s="6" t="s">
        <v>145</v>
      </c>
      <c r="E31" s="6" t="s">
        <v>146</v>
      </c>
      <c r="F31" s="6" t="s">
        <v>12</v>
      </c>
      <c r="G31" s="6" t="s">
        <v>147</v>
      </c>
      <c r="H31" s="6" t="s">
        <v>33</v>
      </c>
      <c r="I31" s="8"/>
      <c r="J31" s="8"/>
      <c r="K31" s="9"/>
      <c r="L31" s="8" t="s">
        <v>34</v>
      </c>
    </row>
    <row r="32" customFormat="false" ht="91" hidden="false" customHeight="false" outlineLevel="0" collapsed="false">
      <c r="A32" s="6" t="s">
        <v>148</v>
      </c>
      <c r="B32" s="6" t="s">
        <v>36</v>
      </c>
      <c r="C32" s="6" t="s">
        <v>55</v>
      </c>
      <c r="D32" s="6" t="s">
        <v>149</v>
      </c>
      <c r="E32" s="6" t="s">
        <v>150</v>
      </c>
      <c r="F32" s="6" t="s">
        <v>12</v>
      </c>
      <c r="G32" s="6" t="s">
        <v>151</v>
      </c>
      <c r="H32" s="6" t="s">
        <v>33</v>
      </c>
      <c r="I32" s="8"/>
      <c r="J32" s="8"/>
      <c r="K32" s="9"/>
      <c r="L32" s="8" t="s">
        <v>34</v>
      </c>
    </row>
    <row r="33" customFormat="false" ht="35.05" hidden="false" customHeight="false" outlineLevel="0" collapsed="false">
      <c r="A33" s="6" t="s">
        <v>152</v>
      </c>
      <c r="B33" s="6" t="s">
        <v>28</v>
      </c>
      <c r="C33" s="6" t="s">
        <v>55</v>
      </c>
      <c r="D33" s="6" t="s">
        <v>153</v>
      </c>
      <c r="E33" s="6" t="s">
        <v>154</v>
      </c>
      <c r="F33" s="6" t="s">
        <v>12</v>
      </c>
      <c r="G33" s="6" t="s">
        <v>155</v>
      </c>
      <c r="H33" s="6" t="s">
        <v>33</v>
      </c>
      <c r="I33" s="8"/>
      <c r="J33" s="8"/>
      <c r="K33" s="9"/>
      <c r="L33" s="8" t="s">
        <v>34</v>
      </c>
    </row>
    <row r="34" customFormat="false" ht="23.85" hidden="false" customHeight="false" outlineLevel="0" collapsed="false">
      <c r="A34" s="6" t="s">
        <v>156</v>
      </c>
      <c r="B34" s="6" t="s">
        <v>36</v>
      </c>
      <c r="C34" s="6" t="s">
        <v>55</v>
      </c>
      <c r="D34" s="6" t="s">
        <v>157</v>
      </c>
      <c r="E34" s="6" t="s">
        <v>158</v>
      </c>
      <c r="F34" s="6" t="s">
        <v>12</v>
      </c>
      <c r="G34" s="6" t="s">
        <v>87</v>
      </c>
      <c r="H34" s="6" t="s">
        <v>33</v>
      </c>
      <c r="I34" s="8"/>
      <c r="J34" s="8"/>
      <c r="K34" s="9"/>
      <c r="L34" s="8" t="s">
        <v>34</v>
      </c>
    </row>
    <row r="35" customFormat="false" ht="23.85" hidden="false" customHeight="false" outlineLevel="0" collapsed="false">
      <c r="A35" s="6" t="s">
        <v>159</v>
      </c>
      <c r="B35" s="6" t="s">
        <v>28</v>
      </c>
      <c r="C35" s="6" t="s">
        <v>55</v>
      </c>
      <c r="D35" s="6" t="s">
        <v>160</v>
      </c>
      <c r="E35" s="6" t="s">
        <v>161</v>
      </c>
      <c r="F35" s="6" t="s">
        <v>12</v>
      </c>
      <c r="G35" s="6" t="s">
        <v>87</v>
      </c>
      <c r="H35" s="6" t="s">
        <v>92</v>
      </c>
      <c r="I35" s="8"/>
      <c r="J35" s="8"/>
      <c r="K35" s="9"/>
      <c r="L35" s="8" t="s">
        <v>34</v>
      </c>
    </row>
    <row r="36" customFormat="false" ht="23.85" hidden="false" customHeight="false" outlineLevel="0" collapsed="false">
      <c r="A36" s="6" t="s">
        <v>162</v>
      </c>
      <c r="B36" s="6" t="s">
        <v>28</v>
      </c>
      <c r="C36" s="6" t="s">
        <v>55</v>
      </c>
      <c r="D36" s="6" t="s">
        <v>163</v>
      </c>
      <c r="E36" s="6" t="s">
        <v>164</v>
      </c>
      <c r="F36" s="6" t="s">
        <v>12</v>
      </c>
      <c r="G36" s="6" t="s">
        <v>66</v>
      </c>
      <c r="H36" s="6" t="s">
        <v>71</v>
      </c>
      <c r="I36" s="8"/>
      <c r="J36" s="8"/>
      <c r="K36" s="9"/>
      <c r="L36" s="8" t="s">
        <v>34</v>
      </c>
    </row>
    <row r="37" customFormat="false" ht="102.2" hidden="false" customHeight="false" outlineLevel="0" collapsed="false">
      <c r="A37" s="6" t="s">
        <v>165</v>
      </c>
      <c r="B37" s="6" t="s">
        <v>50</v>
      </c>
      <c r="C37" s="6" t="s">
        <v>55</v>
      </c>
      <c r="D37" s="6" t="s">
        <v>166</v>
      </c>
      <c r="E37" s="6" t="s">
        <v>167</v>
      </c>
      <c r="F37" s="6" t="s">
        <v>12</v>
      </c>
      <c r="G37" s="6" t="s">
        <v>168</v>
      </c>
      <c r="H37" s="6" t="s">
        <v>33</v>
      </c>
      <c r="I37" s="8"/>
      <c r="J37" s="8"/>
      <c r="K37" s="9"/>
      <c r="L37" s="8" t="s">
        <v>34</v>
      </c>
    </row>
    <row r="38" customFormat="false" ht="23.85" hidden="false" customHeight="false" outlineLevel="0" collapsed="false">
      <c r="A38" s="6" t="s">
        <v>169</v>
      </c>
      <c r="B38" s="6" t="s">
        <v>170</v>
      </c>
      <c r="C38" s="6" t="s">
        <v>29</v>
      </c>
      <c r="D38" s="6" t="s">
        <v>171</v>
      </c>
      <c r="E38" s="6" t="s">
        <v>172</v>
      </c>
      <c r="F38" s="6" t="s">
        <v>12</v>
      </c>
      <c r="G38" s="6" t="s">
        <v>87</v>
      </c>
      <c r="H38" s="6" t="s">
        <v>33</v>
      </c>
      <c r="I38" s="8"/>
      <c r="J38" s="8"/>
      <c r="K38" s="9"/>
      <c r="L38" s="8" t="s">
        <v>34</v>
      </c>
    </row>
    <row r="39" customFormat="false" ht="23.85" hidden="false" customHeight="false" outlineLevel="0" collapsed="false">
      <c r="A39" s="6" t="s">
        <v>173</v>
      </c>
      <c r="B39" s="6" t="s">
        <v>170</v>
      </c>
      <c r="C39" s="6" t="s">
        <v>29</v>
      </c>
      <c r="D39" s="6" t="s">
        <v>100</v>
      </c>
      <c r="E39" s="6" t="s">
        <v>174</v>
      </c>
      <c r="F39" s="6" t="s">
        <v>12</v>
      </c>
      <c r="G39" s="6" t="s">
        <v>87</v>
      </c>
      <c r="H39" s="6" t="s">
        <v>33</v>
      </c>
      <c r="I39" s="8"/>
      <c r="J39" s="8"/>
      <c r="K39" s="9"/>
      <c r="L39" s="8" t="s">
        <v>34</v>
      </c>
    </row>
    <row r="40" customFormat="false" ht="35.05" hidden="false" customHeight="false" outlineLevel="0" collapsed="false">
      <c r="A40" s="6" t="s">
        <v>175</v>
      </c>
      <c r="B40" s="6" t="s">
        <v>170</v>
      </c>
      <c r="C40" s="6" t="s">
        <v>55</v>
      </c>
      <c r="D40" s="6" t="s">
        <v>176</v>
      </c>
      <c r="E40" s="6" t="s">
        <v>177</v>
      </c>
      <c r="F40" s="6" t="s">
        <v>12</v>
      </c>
      <c r="G40" s="6" t="s">
        <v>178</v>
      </c>
      <c r="H40" s="6" t="s">
        <v>92</v>
      </c>
      <c r="I40" s="8"/>
      <c r="J40" s="8"/>
      <c r="K40" s="9"/>
      <c r="L40" s="8" t="s">
        <v>34</v>
      </c>
    </row>
    <row r="41" customFormat="false" ht="35.05" hidden="false" customHeight="false" outlineLevel="0" collapsed="false">
      <c r="A41" s="6" t="s">
        <v>179</v>
      </c>
      <c r="B41" s="6" t="s">
        <v>170</v>
      </c>
      <c r="C41" s="6" t="s">
        <v>55</v>
      </c>
      <c r="D41" s="6" t="s">
        <v>37</v>
      </c>
      <c r="E41" s="6" t="s">
        <v>180</v>
      </c>
      <c r="F41" s="6" t="s">
        <v>12</v>
      </c>
      <c r="G41" s="6" t="s">
        <v>87</v>
      </c>
      <c r="H41" s="6" t="s">
        <v>33</v>
      </c>
      <c r="I41" s="8"/>
      <c r="J41" s="8"/>
      <c r="K41" s="9"/>
      <c r="L41" s="8" t="s">
        <v>34</v>
      </c>
    </row>
    <row r="42" customFormat="false" ht="35.05" hidden="false" customHeight="false" outlineLevel="0" collapsed="false">
      <c r="A42" s="6" t="s">
        <v>181</v>
      </c>
      <c r="B42" s="6" t="s">
        <v>170</v>
      </c>
      <c r="C42" s="6" t="s">
        <v>29</v>
      </c>
      <c r="D42" s="6" t="s">
        <v>182</v>
      </c>
      <c r="E42" s="6" t="s">
        <v>183</v>
      </c>
      <c r="F42" s="6" t="s">
        <v>12</v>
      </c>
      <c r="G42" s="6" t="s">
        <v>184</v>
      </c>
      <c r="H42" s="6" t="s">
        <v>33</v>
      </c>
      <c r="I42" s="8"/>
      <c r="J42" s="8"/>
      <c r="K42" s="9"/>
      <c r="L42" s="8" t="s">
        <v>34</v>
      </c>
    </row>
    <row r="43" customFormat="false" ht="23.85" hidden="false" customHeight="false" outlineLevel="0" collapsed="false">
      <c r="A43" s="6" t="s">
        <v>185</v>
      </c>
      <c r="B43" s="6" t="s">
        <v>170</v>
      </c>
      <c r="C43" s="6" t="s">
        <v>55</v>
      </c>
      <c r="D43" s="6" t="s">
        <v>186</v>
      </c>
      <c r="E43" s="6" t="s">
        <v>187</v>
      </c>
      <c r="F43" s="6" t="s">
        <v>12</v>
      </c>
      <c r="G43" s="6" t="s">
        <v>188</v>
      </c>
      <c r="H43" s="6" t="s">
        <v>33</v>
      </c>
      <c r="I43" s="8"/>
      <c r="J43" s="8"/>
      <c r="K43" s="9"/>
      <c r="L43" s="8" t="s">
        <v>34</v>
      </c>
    </row>
    <row r="44" customFormat="false" ht="35.05" hidden="false" customHeight="false" outlineLevel="0" collapsed="false">
      <c r="A44" s="6" t="s">
        <v>189</v>
      </c>
      <c r="B44" s="6" t="s">
        <v>170</v>
      </c>
      <c r="C44" s="6" t="s">
        <v>55</v>
      </c>
      <c r="D44" s="6" t="s">
        <v>190</v>
      </c>
      <c r="E44" s="6" t="s">
        <v>191</v>
      </c>
      <c r="F44" s="6" t="s">
        <v>12</v>
      </c>
      <c r="G44" s="6" t="s">
        <v>192</v>
      </c>
      <c r="H44" s="6" t="s">
        <v>33</v>
      </c>
      <c r="I44" s="8"/>
      <c r="J44" s="8"/>
      <c r="K44" s="9"/>
      <c r="L44" s="8" t="s">
        <v>34</v>
      </c>
    </row>
    <row r="45" customFormat="false" ht="23.85" hidden="false" customHeight="false" outlineLevel="0" collapsed="false">
      <c r="A45" s="6" t="s">
        <v>193</v>
      </c>
      <c r="B45" s="6" t="s">
        <v>170</v>
      </c>
      <c r="C45" s="6" t="s">
        <v>55</v>
      </c>
      <c r="D45" s="6" t="s">
        <v>194</v>
      </c>
      <c r="E45" s="6" t="s">
        <v>195</v>
      </c>
      <c r="F45" s="6" t="s">
        <v>12</v>
      </c>
      <c r="G45" s="6" t="s">
        <v>87</v>
      </c>
      <c r="H45" s="6" t="s">
        <v>33</v>
      </c>
      <c r="I45" s="8"/>
      <c r="J45" s="8"/>
      <c r="K45" s="9"/>
      <c r="L45" s="8" t="s">
        <v>34</v>
      </c>
    </row>
  </sheetData>
  <autoFilter ref="A1:L45"/>
  <dataValidations count="3">
    <dataValidation allowBlank="false" errorStyle="stop" operator="between" showDropDown="false" showErrorMessage="false" showInputMessage="false" sqref="L2:L45" type="list">
      <formula1>"Open,Answered"</formula1>
      <formula2>0</formula2>
    </dataValidation>
    <dataValidation allowBlank="false" errorStyle="stop" operator="between" showDropDown="false" showErrorMessage="false" showInputMessage="false" sqref="F2:F45" type="list">
      <formula1>"Blocking,Not blocking"</formula1>
      <formula2>0</formula2>
    </dataValidation>
    <dataValidation allowBlank="true" error="Enter a date as DD-MM-YYYY" errorStyle="stop" operator="between" showDropDown="false" showErrorMessage="true" showInputMessage="false" sqref="K2:K45" type="date">
      <formula1>DATE(2026,1,1)</formula1>
      <formula2>DATE(2030,12,31)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2026-09-29T09:37:46Z</dcterms:created>
  <dc:creator>openpyxl</dc:creator>
  <dc:description/>
  <dc:language>en-US</dc:language>
  <cp:lastModifiedBy/>
  <dcterms:modified xsi:type="dcterms:W3CDTF">2026-09-29T09:50:29Z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