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Coverage" sheetId="2" state="visible" r:id="rId4"/>
    <sheet name="Test data" sheetId="3" state="visible" r:id="rId5"/>
  </sheets>
  <definedNames>
    <definedName function="false" hidden="false" localSheetId="1" name="_xlnm.Print_Titles" vbProcedure="false">Coverage!$1:$1</definedName>
    <definedName function="false" hidden="true" localSheetId="1" name="_xlnm._FilterDatabase" vbProcedure="false">Coverage!$A$1:$I$88</definedName>
    <definedName function="false" hidden="false" localSheetId="0" name="_xlnm.Print_Titles" vbProcedure="false">'Test cases'!$1:$1</definedName>
    <definedName function="false" hidden="true" localSheetId="0" name="_xlnm._FilterDatabase" vbProcedure="false">'Test cases'!$A$1:$L$139</definedName>
    <definedName function="false" hidden="false" localSheetId="2" name="_xlnm.Print_Titles" vbProcedure="false">'Test data'!$1:$1</definedName>
    <definedName function="false" hidden="true" localSheetId="2" name="_xlnm._FilterDatabase" vbProcedure="false">'Test data'!$A$1:$D$66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<sst xmlns="http://schemas.openxmlformats.org/spreadsheetml/2006/main" count="2526" uniqueCount="1042">
  <si>
    <t xml:space="preserve">TC ID</t>
  </si>
  <si>
    <t xml:space="preserve">Story</t>
  </si>
  <si>
    <t xml:space="preserve">AC</t>
  </si>
  <si>
    <t xml:space="preserve">Type</t>
  </si>
  <si>
    <t xml:space="preserve">Title</t>
  </si>
  <si>
    <t xml:space="preserve">Preconditions</t>
  </si>
  <si>
    <t xml:space="preserve">Test data</t>
  </si>
  <si>
    <t xml:space="preserve">Steps</t>
  </si>
  <si>
    <t xml:space="preserve">Expected result</t>
  </si>
  <si>
    <t xml:space="preserve">Priority</t>
  </si>
  <si>
    <t xml:space="preserve">Rules</t>
  </si>
  <si>
    <t xml:space="preserve">Status</t>
  </si>
  <si>
    <t xml:space="preserve">TC-001</t>
  </si>
  <si>
    <t xml:space="preserve">RC-01</t>
  </si>
  <si>
    <t xml:space="preserve">RC-01.1</t>
  </si>
  <si>
    <t xml:space="preserve">Positive</t>
  </si>
  <si>
    <t xml:space="preserve">Upload the sample file with the file picker</t>
  </si>
  <si>
    <t xml:space="preserve">Report card page open on a laptop; device date 28-09-2026; no report showing</t>
  </si>
  <si>
    <t xml:space="preserve">bakery sept FINAL 2.csv</t>
  </si>
  <si>
    <t xml:space="preserve">1) Click "Choose CSV file" and pick bakery sept FINAL 2.csv. 2) Look at the whole report card.</t>
  </si>
  <si>
    <t xml:space="preserve">Header shows "September 2026", "bakery sept FINAL 2.csv" and "14 posts graded · 9 rows not graded"; Overall: 10.5%, A+; Instagram: 11.1%, A+; YouTube: 2.6%, C; top 3: row 18 (55.9%, A+), row 6 (12.2%, A+), row 10 (9.7%, A); bottom 3, worst first: row 17 (0.8%, D), row 11 (1.4%, C), row 23 (2.2%, C); "Rows to fix" shows exactly these 7 lines, in this order: Row 8: Views must be a full number, like 12400 or 12,400. "12.4K" is not accepted. | Row 9: "Facebook" is not supported. Use Instagram or YouTube. | Row 15: 14-09-2062 is in the future. | Row 19: Likes is empty. Enter 0 if there were none. | Row 20: The year must have 4 digits, for example 21-09-2026. | Row 22: Views must be a full number, like 12400 or 12,400. "1.2L" is not accepted. | Row 24: 31-09-2026 is not a real date.; "Skipped": Row 13: Same as row 12. Counted once.; "Too new to grade": Row 25: 0 views. Not graded yet.</t>
  </si>
  <si>
    <t xml:space="preserve">Must</t>
  </si>
  <si>
    <t xml:space="preserve">BR-10, BR-18</t>
  </si>
  <si>
    <t xml:space="preserve">Not run</t>
  </si>
  <si>
    <t xml:space="preserve">TC-002</t>
  </si>
  <si>
    <t xml:space="preserve">Negative</t>
  </si>
  <si>
    <t xml:space="preserve">The file never leaves the browser and nothing is stored</t>
  </si>
  <si>
    <t xml:space="preserve">Report card page open on a laptop; device date 28-09-2026; no report showing; browser developer tools open on the Network and Application tabs</t>
  </si>
  <si>
    <t xml:space="preserve">1) Clear the Network log. 2) Click "Choose CSV file" and pick bakery sept FINAL 2.csv. 3) Search all network request payloads for "kaju katli". 4) In the Application tab, open Local storage, Session storage, IndexedDB and Cookies for the page.</t>
  </si>
  <si>
    <t xml:space="preserve">No network request contains "kaju katli" or any other text from the file; Local storage, Session storage, IndexedDB and Cookies hold no file contents and no report figures</t>
  </si>
  <si>
    <t xml:space="preserve">BR-18</t>
  </si>
  <si>
    <t xml:space="preserve">TC-003</t>
  </si>
  <si>
    <t xml:space="preserve">RC-01.2</t>
  </si>
  <si>
    <t xml:space="preserve">Upload the sample file by drag and drop</t>
  </si>
  <si>
    <t xml:space="preserve">1) Drag bakery sept FINAL 2.csv from the computer onto the upload area. 2) Look at the whole report card.</t>
  </si>
  <si>
    <t xml:space="preserve">Same report card as TC-001: Header shows "September 2026", "bakery sept FINAL 2.csv" and "14 posts graded · 9 rows not graded"; Overall: 10.5%, A+; Instagram: 11.1%, A+; YouTube: 2.6%, C; top 3: row 18 (55.9%, A+), row 6 (12.2%, A+), row 10 (9.7%, A); bottom 3, worst first: row 17 (0.8%, D), row 11 (1.4%, C), row 23 (2.2%, C); "Rows to fix" shows exactly these 7 lines, in this order: Row 8: Views must be a full number, like 12400 or 12,400. "12.4K" is not accepted. | Row 9: "Facebook" is not supported. Use Instagram or YouTube. | Row 15: 14-09-2062 is in the future. | Row 19: Likes is empty. Enter 0 if there were none. | Row 20: The year must have 4 digits, for example 21-09-2026. | Row 22: Views must be a full number, like 12400 or 12,400. "1.2L" is not accepted. | Row 24: 31-09-2026 is not a real date.; "Skipped": Row 13: Same as row 12. Counted once.; "Too new to grade": Row 25: 0 views. Not graded yet.</t>
  </si>
  <si>
    <t xml:space="preserve">TC-004</t>
  </si>
  <si>
    <t xml:space="preserve">RC-01.3</t>
  </si>
  <si>
    <t xml:space="preserve">Upload the sample file on a phone</t>
  </si>
  <si>
    <t xml:space="preserve">Report card page open on a phone 360 px wide; device date 28-09-2026; no report showing</t>
  </si>
  <si>
    <t xml:space="preserve">1) Tap "Choose CSV file" and pick bakery sept FINAL 2.csv. 2) Scroll through the whole report card.</t>
  </si>
  <si>
    <t xml:space="preserve">Same report card as TC-001: Header shows "September 2026", "bakery sept FINAL 2.csv" and "14 posts graded · 9 rows not graded"; Overall: 10.5%, A+; Instagram: 11.1%, A+; YouTube: 2.6%, C; top 3: row 18 (55.9%, A+), row 6 (12.2%, A+), row 10 (9.7%, A); bottom 3, worst first: row 17 (0.8%, D), row 11 (1.4%, C), row 23 (2.2%, C); "Rows to fix" shows exactly these 7 lines, in this order: Row 8: Views must be a full number, like 12400 or 12,400. "12.4K" is not accepted. | Row 9: "Facebook" is not supported. Use Instagram or YouTube. | Row 15: 14-09-2062 is in the future. | Row 19: Likes is empty. Enter 0 if there were none. | Row 20: The year must have 4 digits, for example 21-09-2026. | Row 22: Views must be a full number, like 12400 or 12,400. "1.2L" is not accepted. | Row 24: 31-09-2026 is not a real date.; "Skipped": Row 13: Same as row 12. Counted once.; "Too new to grade": Row 25: 0 views. Not graded yet.; nothing on the page scrolls sideways</t>
  </si>
  <si>
    <t xml:space="preserve">TC-005</t>
  </si>
  <si>
    <t xml:space="preserve">RC-01.4</t>
  </si>
  <si>
    <t xml:space="preserve">A second upload fully replaces the first report</t>
  </si>
  <si>
    <t xml:space="preserve">Report card page open on a laptop; device date 28-09-2026; report for bakery sept FINAL 2.csv showing</t>
  </si>
  <si>
    <t xml:space="preserve">ep1-replace.csv</t>
  </si>
  <si>
    <t xml:space="preserve">1) Click "Choose CSV file" and pick ep1-replace.csv. 2) Look at the whole report card.</t>
  </si>
  <si>
    <t xml:space="preserve">Header shows "September 2026" and "ep1-replace.csv"; Overall: 5.0%, B; Instagram: 5.0%, B, 1,000 views, 50 interactions, 1 post; YouTube: "No graded YouTube posts this month" and no grade; "bakery sept FINAL 2.csv", 10.5%, the sample's top 3 and bottom 3, and the "Rows to fix", "Skipped" and "Too new to grade" lines from the sample file do not appear anywhere</t>
  </si>
  <si>
    <t xml:space="preserve">TC-006</t>
  </si>
  <si>
    <t xml:space="preserve">RC-02</t>
  </si>
  <si>
    <t xml:space="preserve">RC-02.1</t>
  </si>
  <si>
    <t xml:space="preserve">Excel file is rejected</t>
  </si>
  <si>
    <t xml:space="preserve">ep1-sample.xlsx</t>
  </si>
  <si>
    <t xml:space="preserve">1) Drag ep1-sample.xlsx from the computer onto the upload area. 2) Look at the page.</t>
  </si>
  <si>
    <t xml:space="preserve">"Reach can read CSV files only. In Excel, choose File &gt; Save As, pick "CSV UTF-8", then upload that file." is shown; no report card is shown</t>
  </si>
  <si>
    <t xml:space="preserve">BR-14</t>
  </si>
  <si>
    <t xml:space="preserve">TC-007</t>
  </si>
  <si>
    <t xml:space="preserve">File with CSV contents but a .txt name is rejected</t>
  </si>
  <si>
    <t xml:space="preserve">ep1-sample.txt</t>
  </si>
  <si>
    <t xml:space="preserve">1) Drag ep1-sample.txt from the computer onto the upload area. 2) Look at the page.</t>
  </si>
  <si>
    <t xml:space="preserve">BR-14, Field spec (File type)</t>
  </si>
  <si>
    <t xml:space="preserve">TC-008</t>
  </si>
  <si>
    <t xml:space="preserve">RC-02.2</t>
  </si>
  <si>
    <t xml:space="preserve">CSV with no Saves column is rejected</t>
  </si>
  <si>
    <t xml:space="preserve">ep1-no-saves.csv</t>
  </si>
  <si>
    <t xml:space="preserve">1) Click "Choose CSV file" and pick ep1-no-saves.csv. 2) Look at the page.</t>
  </si>
  <si>
    <t xml:space="preserve">"This file is missing the column(s): Saves. The first row must have Date, Platform, Caption, Views, Likes, Comments, Shares and Saves." is shown; no report card is shown</t>
  </si>
  <si>
    <t xml:space="preserve">BR-14, Field spec (Column headers)</t>
  </si>
  <si>
    <t xml:space="preserve">TC-009</t>
  </si>
  <si>
    <t xml:space="preserve">CSV with no Date column is rejected</t>
  </si>
  <si>
    <t xml:space="preserve">ep1-no-date.csv</t>
  </si>
  <si>
    <t xml:space="preserve">1) Click "Choose CSV file" and pick ep1-no-date.csv. 2) Look at the page.</t>
  </si>
  <si>
    <t xml:space="preserve">"This file is missing the column(s): Date. The first row must have Date, Platform, Caption, Views, Likes, Comments, Shares and Saves." is shown; no report card is shown</t>
  </si>
  <si>
    <t xml:space="preserve">TC-010</t>
  </si>
  <si>
    <t xml:space="preserve">RC-02.3</t>
  </si>
  <si>
    <t xml:space="preserve">Header " Views" with a leading space is read</t>
  </si>
  <si>
    <t xml:space="preserve">1) Click "Choose CSV file" and pick bakery sept FINAL 2.csv. 2) Look at the page and the Instagram section.</t>
  </si>
  <si>
    <t xml:space="preserve">No "missing the column(s)" message; Instagram: 2,10,100 views</t>
  </si>
  <si>
    <t xml:space="preserve">TC-011</t>
  </si>
  <si>
    <t xml:space="preserve">Edge</t>
  </si>
  <si>
    <t xml:space="preserve">Headers in mixed capitals are read</t>
  </si>
  <si>
    <t xml:space="preserve">ep1-header-caps.csv</t>
  </si>
  <si>
    <t xml:space="preserve">1) Click "Choose CSV file" and pick ep1-header-caps.csv. 2) Look at the page and the Overall section.</t>
  </si>
  <si>
    <t xml:space="preserve">No "missing the column(s)" message; Overall: 5.0%, B</t>
  </si>
  <si>
    <t xml:space="preserve">TC-012</t>
  </si>
  <si>
    <t xml:space="preserve">RC-02.4</t>
  </si>
  <si>
    <t xml:space="preserve">Columns in a different order give the same report</t>
  </si>
  <si>
    <t xml:space="preserve">ep1-sample-reordered.csv</t>
  </si>
  <si>
    <t xml:space="preserve">1) Click "Choose CSV file" and pick ep1-sample-reordered.csv. 2) Look at the whole report card.</t>
  </si>
  <si>
    <t xml:space="preserve">Same as the sample file's report except the file name: header shows "September 2026", "ep1-sample-reordered.csv" and "14 posts graded · 9 rows not graded"; Overall: 10.5%, A+; Instagram: 11.1%, A+; YouTube: 2.6%, C; top 3: row 18, row 6, row 10; bottom 3: row 17, row 11, row 23; "Rows to fix" shows exactly these 7 lines, in this order: Row 8: Views must be a full number, like 12400 or 12,400. "12.4K" is not accepted. | Row 9: "Facebook" is not supported. Use Instagram or YouTube. | Row 15: 14-09-2062 is in the future. | Row 19: Likes is empty. Enter 0 if there were none. | Row 20: The year must have 4 digits, for example 21-09-2026. | Row 22: Views must be a full number, like 12400 or 12,400. "1.2L" is not accepted. | Row 24: 31-09-2026 is not a real date.</t>
  </si>
  <si>
    <t xml:space="preserve">TC-013</t>
  </si>
  <si>
    <t xml:space="preserve">RC-02.5</t>
  </si>
  <si>
    <t xml:space="preserve">Extra "Link" column is ignored</t>
  </si>
  <si>
    <t xml:space="preserve">ep1-extra-link.csv</t>
  </si>
  <si>
    <t xml:space="preserve">1) Click "Choose CSV file" and pick ep1-extra-link.csv. 2) Look at the page and the Overall section.</t>
  </si>
  <si>
    <t xml:space="preserve">No message about the Link column or any other message; Overall: 5.0%, B; "post-link-1" does not appear on the page</t>
  </si>
  <si>
    <t xml:space="preserve">TC-014</t>
  </si>
  <si>
    <t xml:space="preserve">RC-02.6</t>
  </si>
  <si>
    <t xml:space="preserve">File with only a header row</t>
  </si>
  <si>
    <t xml:space="preserve">ep1-header-only.csv</t>
  </si>
  <si>
    <t xml:space="preserve">1) Click "Choose CSV file" and pick ep1-header-only.csv. 2) Look at the page.</t>
  </si>
  <si>
    <t xml:space="preserve">"This file has no posts in it." is shown; no report card is shown</t>
  </si>
  <si>
    <t xml:space="preserve">BR-14, Field spec (Row count)</t>
  </si>
  <si>
    <t xml:space="preserve">TC-015</t>
  </si>
  <si>
    <t xml:space="preserve">File with a header and only blank rows</t>
  </si>
  <si>
    <t xml:space="preserve">ep1-header-blank-rows.csv</t>
  </si>
  <si>
    <t xml:space="preserve">1) Click "Choose CSV file" and pick ep1-header-blank-rows.csv. 2) Look at the page.</t>
  </si>
  <si>
    <t xml:space="preserve">TC-016</t>
  </si>
  <si>
    <t xml:space="preserve">RC-02.7</t>
  </si>
  <si>
    <t xml:space="preserve">File over 5 MB is rejected</t>
  </si>
  <si>
    <t xml:space="preserve">ep1-over-5mb.csv</t>
  </si>
  <si>
    <t xml:space="preserve">1) Click "Choose CSV file" and pick ep1-over-5mb.csv. 2) Look at the page.</t>
  </si>
  <si>
    <t xml:space="preserve">"This file is over 5 MB. Upload one client's month at a time." is shown; no report card is shown</t>
  </si>
  <si>
    <t xml:space="preserve">BR-14, Field spec (File size)</t>
  </si>
  <si>
    <t xml:space="preserve">TC-017</t>
  </si>
  <si>
    <t xml:space="preserve">File just under 5 MB is accepted</t>
  </si>
  <si>
    <t xml:space="preserve">ep1-under-5mb.csv</t>
  </si>
  <si>
    <t xml:space="preserve">1) Click "Choose CSV file" and pick ep1-under-5mb.csv. 2) Look at the page and the Instagram section.</t>
  </si>
  <si>
    <t xml:space="preserve">No "over 5 MB" message; Instagram: 5.0%, B, 38,00,000 views, 1,90,000 interactions, 3,800 posts</t>
  </si>
  <si>
    <t xml:space="preserve">TC-018</t>
  </si>
  <si>
    <t xml:space="preserve">RC-02.8</t>
  </si>
  <si>
    <t xml:space="preserve">File with 10,001 rows is rejected</t>
  </si>
  <si>
    <t xml:space="preserve">ep1-10001-rows.csv</t>
  </si>
  <si>
    <t xml:space="preserve">1) Click "Choose CSV file" and pick ep1-10001-rows.csv. 2) Look at the page.</t>
  </si>
  <si>
    <t xml:space="preserve">"This file has more than 10,000 rows. Upload one client's month at a time." is shown; no report card is shown</t>
  </si>
  <si>
    <t xml:space="preserve">TC-019</t>
  </si>
  <si>
    <t xml:space="preserve">RC-02.9</t>
  </si>
  <si>
    <t xml:space="preserve">10,000 rows plus 50 blank rows are accepted</t>
  </si>
  <si>
    <t xml:space="preserve">ep1-10000-rows-50-blank.csv</t>
  </si>
  <si>
    <t xml:space="preserve">1) Click "Choose CSV file" and pick ep1-10000-rows-50-blank.csv. 2) Look at the page and the Instagram section.</t>
  </si>
  <si>
    <t xml:space="preserve">No "more than 10,000 rows" message; report card is shown; Instagram: 5.0%, B, 1,00,00,000 views, 5,00,000 interactions, 10,000 posts</t>
  </si>
  <si>
    <t xml:space="preserve">TC-020</t>
  </si>
  <si>
    <t xml:space="preserve">RC-03</t>
  </si>
  <si>
    <t xml:space="preserve">RC-03.1</t>
  </si>
  <si>
    <t xml:space="preserve">Excel upload is not supported in this release</t>
  </si>
  <si>
    <t xml:space="preserve">Same as RC-02.1: "Reach can read CSV files only. In Excel, choose File &gt; Save As, pick "CSV UTF-8", then upload that file." is shown; no report card is shown</t>
  </si>
  <si>
    <t xml:space="preserve">Won't</t>
  </si>
  <si>
    <t xml:space="preserve">None</t>
  </si>
  <si>
    <t xml:space="preserve">TC-021</t>
  </si>
  <si>
    <t xml:space="preserve">RC-04</t>
  </si>
  <si>
    <t xml:space="preserve">RC-04.1</t>
  </si>
  <si>
    <t xml:space="preserve">Good rows are graded even though other rows have problems</t>
  </si>
  <si>
    <t xml:space="preserve">1) Click "Choose CSV file" and pick bakery sept FINAL 2.csv. 2) Look at the header, grades, top 3 and bottom 3.</t>
  </si>
  <si>
    <t xml:space="preserve">Header shows "14 posts graded · 9 rows not graded"; Overall: 10.5%, A+; Instagram: 11.1%, A+; YouTube: 2.6%, C; top 3 and bottom 3 are shown</t>
  </si>
  <si>
    <t xml:space="preserve">BR-07, BR-19, BR-20</t>
  </si>
  <si>
    <t xml:space="preserve">TC-022</t>
  </si>
  <si>
    <t xml:space="preserve">Blank caption is listed</t>
  </si>
  <si>
    <t xml:space="preserve">ep2-field-blanks.csv</t>
  </si>
  <si>
    <t xml:space="preserve">1) Click "Choose CSV file" and pick ep2-field-blanks.csv. 2) Look at the "Rows to fix" list.</t>
  </si>
  <si>
    <t xml:space="preserve">"Rows to fix" includes "Row 3: Caption is empty."</t>
  </si>
  <si>
    <t xml:space="preserve">BR-07, BR-19, BR-20, Field spec (Caption)</t>
  </si>
  <si>
    <t xml:space="preserve">TC-023</t>
  </si>
  <si>
    <t xml:space="preserve">RC-04.2</t>
  </si>
  <si>
    <t xml:space="preserve">"Rows to fix" lists the sample file's 7 problem rows</t>
  </si>
  <si>
    <t xml:space="preserve">1) Click "Choose CSV file" and pick bakery sept FINAL 2.csv. 2) Scroll to the "Rows to fix" list.</t>
  </si>
  <si>
    <t xml:space="preserve">"Rows to fix" shows exactly these 7 lines, in this order: Row 8: Views must be a full number, like 12400 or 12,400. "12.4K" is not accepted. | Row 9: "Facebook" is not supported. Use Instagram or YouTube. | Row 15: 14-09-2062 is in the future. | Row 19: Likes is empty. Enter 0 if there were none. | Row 20: The year must have 4 digits, for example 21-09-2026. | Row 22: Views must be a full number, like 12400 or 12,400. "1.2L" is not accepted. | Row 24: 31-09-2026 is not a real date.</t>
  </si>
  <si>
    <t xml:space="preserve">TC-024</t>
  </si>
  <si>
    <t xml:space="preserve">RC-04.3</t>
  </si>
  <si>
    <t xml:space="preserve">Two problems in one row give two lines</t>
  </si>
  <si>
    <t xml:space="preserve">ep2-two-problems.csv</t>
  </si>
  <si>
    <t xml:space="preserve">1) Click "Choose CSV file" and pick ep2-two-problems.csv. 2) Look at the "Rows to fix" list.</t>
  </si>
  <si>
    <t xml:space="preserve">"Rows to fix" shows exactly 2 lines, both for row 3: "Row 3: Views must be a full number, like 12400 or 12,400. "abc" is not accepted." and "Row 3: Likes is empty. Enter 0 if there were none."</t>
  </si>
  <si>
    <t xml:space="preserve">TC-025</t>
  </si>
  <si>
    <t xml:space="preserve">Unsupported platform shows only the platform message</t>
  </si>
  <si>
    <t xml:space="preserve">ep2-platform-other.csv</t>
  </si>
  <si>
    <t xml:space="preserve">1) Click "Choose CSV file" and pick ep2-platform-other.csv. 2) Look at the "Rows to fix" list.</t>
  </si>
  <si>
    <t xml:space="preserve">"Rows to fix" shows exactly 1 line for row 3: "Row 3: "Twitter" is not supported. Use Instagram or YouTube."</t>
  </si>
  <si>
    <t xml:space="preserve">BR-07, BR-19, BR-20, BR-08</t>
  </si>
  <si>
    <t xml:space="preserve">TC-026</t>
  </si>
  <si>
    <t xml:space="preserve">RC-04.4</t>
  </si>
  <si>
    <t xml:space="preserve">Every row has a problem</t>
  </si>
  <si>
    <t xml:space="preserve">ep2-all-problems.csv</t>
  </si>
  <si>
    <t xml:space="preserve">1) Click "Choose CSV file" and pick ep2-all-problems.csv. 2) Look at the page.</t>
  </si>
  <si>
    <t xml:space="preserve">No grades are shown; "No rows could be graded. Fix the rows listed below and upload again." is shown above the list; "Rows to fix" shows: "Row 2: Views must be a full number, like 12400 or 12,400. "abc" is not accepted." and "Row 3: "Facebook" is not supported. Use Instagram or YouTube."</t>
  </si>
  <si>
    <t xml:space="preserve">TC-027</t>
  </si>
  <si>
    <t xml:space="preserve">RC-04.5</t>
  </si>
  <si>
    <t xml:space="preserve">No "Rows to fix" section when every row is fine</t>
  </si>
  <si>
    <t xml:space="preserve">ep2-no-problems.csv</t>
  </si>
  <si>
    <t xml:space="preserve">1) Click "Choose CSV file" and pick ep2-no-problems.csv. 2) Look at the whole page.</t>
  </si>
  <si>
    <t xml:space="preserve">No "Rows to fix" section is shown</t>
  </si>
  <si>
    <t xml:space="preserve">TC-028</t>
  </si>
  <si>
    <t xml:space="preserve">RC-04.6</t>
  </si>
  <si>
    <t xml:space="preserve">The three lists appear below the bottom 3</t>
  </si>
  <si>
    <t xml:space="preserve">1) Click "Choose CSV file" and pick bakery sept FINAL 2.csv. 2) Look at the order of sections on the page.</t>
  </si>
  <si>
    <t xml:space="preserve">The "Rows to fix", "Skipped" and "Too new to grade" lists all appear below the bottom 3 posts</t>
  </si>
  <si>
    <t xml:space="preserve">TC-029</t>
  </si>
  <si>
    <t xml:space="preserve">RC-05</t>
  </si>
  <si>
    <t xml:space="preserve">RC-05.1</t>
  </si>
  <si>
    <t xml:space="preserve">"03/09/2026" is read as 3 September</t>
  </si>
  <si>
    <t xml:space="preserve">Report card page open on a laptop; device date 28-09-2026; no report showing; "All posts" (RC-21) available</t>
  </si>
  <si>
    <t xml:space="preserve">1) Click "Choose CSV file" and pick bakery sept FINAL 2.csv. 2) Look at the "Rows to fix" list. 3) Open "All posts" and find "Weekend special: kaju katli box".</t>
  </si>
  <si>
    <t xml:space="preserve">"Rows to fix" has no line for row 4; the post is dated 03-09-2026</t>
  </si>
  <si>
    <t xml:space="preserve">BR-09, BR-10</t>
  </si>
  <si>
    <t xml:space="preserve">TC-030</t>
  </si>
  <si>
    <t xml:space="preserve">RC-05.2</t>
  </si>
  <si>
    <t xml:space="preserve">"2026-09-06" is read as 6 September</t>
  </si>
  <si>
    <t xml:space="preserve">1) Click "Choose CSV file" and pick bakery sept FINAL 2.csv. 2) Look at the "Rows to fix" list. 3) Open "All posts" and find "Bakery tour in 60 seconds".</t>
  </si>
  <si>
    <t xml:space="preserve">"Rows to fix" has no line for row 7; the post is dated 06-09-2026</t>
  </si>
  <si>
    <t xml:space="preserve">TC-031</t>
  </si>
  <si>
    <t xml:space="preserve">RC-05.3</t>
  </si>
  <si>
    <t xml:space="preserve">Two-digit year is rejected</t>
  </si>
  <si>
    <t xml:space="preserve">1) Click "Choose CSV file" and pick bakery sept FINAL 2.csv. 2) Look at the "Rows to fix" list.</t>
  </si>
  <si>
    <t xml:space="preserve">"Rows to fix" includes "Row 20: The year must have 4 digits, for example 21-09-2026."; header shows "14 posts graded" (row 20 not graded)</t>
  </si>
  <si>
    <t xml:space="preserve">TC-032</t>
  </si>
  <si>
    <t xml:space="preserve">Blank date is listed</t>
  </si>
  <si>
    <t xml:space="preserve">ep2-date-checks.csv</t>
  </si>
  <si>
    <t xml:space="preserve">1) Click "Choose CSV file" and pick ep2-date-checks.csv. 2) Look at the "Rows to fix" list.</t>
  </si>
  <si>
    <t xml:space="preserve">"Rows to fix" includes "Row 6: Date is empty."</t>
  </si>
  <si>
    <t xml:space="preserve">BR-09, BR-10, Field spec (Date)</t>
  </si>
  <si>
    <t xml:space="preserve">TC-033</t>
  </si>
  <si>
    <t xml:space="preserve">RC-05.4</t>
  </si>
  <si>
    <t xml:space="preserve">31-09-2026 is not a real date</t>
  </si>
  <si>
    <t xml:space="preserve">"Rows to fix" includes "Row 24: 31-09-2026 is not a real date."</t>
  </si>
  <si>
    <t xml:space="preserve">TC-034</t>
  </si>
  <si>
    <t xml:space="preserve">29-02-2026 is not a real date (checked before the month)</t>
  </si>
  <si>
    <t xml:space="preserve">"Rows to fix" includes "Row 5: 29-02-2026 is not a real date." and no other line for row 5</t>
  </si>
  <si>
    <t xml:space="preserve">TC-035</t>
  </si>
  <si>
    <t xml:space="preserve">RC-05.5</t>
  </si>
  <si>
    <t xml:space="preserve">Row from another month is rejected</t>
  </si>
  <si>
    <t xml:space="preserve">1) Click "Choose CSV file" and pick ep2-date-checks.csv. 2) Look at the header and the "Rows to fix" list.</t>
  </si>
  <si>
    <t xml:space="preserve">Header shows "September 2026"; "Rows to fix" includes "Row 7: 30-08-2026 is not in September 2026. Upload one month per file."</t>
  </si>
  <si>
    <t xml:space="preserve">TC-036</t>
  </si>
  <si>
    <t xml:space="preserve">A post dated on the day of upload is accepted</t>
  </si>
  <si>
    <t xml:space="preserve">1) Click "Choose CSV file" and pick ep2-date-checks.csv. 2) Look at the "Rows to fix" list and the Instagram section.</t>
  </si>
  <si>
    <t xml:space="preserve">"Rows to fix" has no line for row 8; Instagram: 5,000 views, 260 interactions, 5 posts, 5.2%, B</t>
  </si>
  <si>
    <t xml:space="preserve">TC-037</t>
  </si>
  <si>
    <t xml:space="preserve">A post dated the day after upload is in the future</t>
  </si>
  <si>
    <t xml:space="preserve">"Rows to fix" includes "Row 9: 29-09-2026 is in the future."</t>
  </si>
  <si>
    <t xml:space="preserve">TC-038</t>
  </si>
  <si>
    <t xml:space="preserve">RC-05.6</t>
  </si>
  <si>
    <t xml:space="preserve">"3-9-2026" is read as 03-09-2026</t>
  </si>
  <si>
    <t xml:space="preserve">1) Click "Choose CSV file" and pick ep2-date-checks.csv. 2) Look at the "Rows to fix" list. 3) Find "Short dash date" in the "All posts, best to worst" list.</t>
  </si>
  <si>
    <t xml:space="preserve">"Rows to fix" has no line for row 10; "Short dash date" is dated 03-09-2026</t>
  </si>
  <si>
    <t xml:space="preserve">TC-039</t>
  </si>
  <si>
    <t xml:space="preserve">RC-05.7</t>
  </si>
  <si>
    <t xml:space="preserve">"3/9/2026" is read as 03-09-2026</t>
  </si>
  <si>
    <t xml:space="preserve">1) Click "Choose CSV file" and pick ep2-date-checks.csv. 2) Look at the "Rows to fix" list. 3) Find "Short slash date" in the "All posts, best to worst" list.</t>
  </si>
  <si>
    <t xml:space="preserve">"Rows to fix" has no line for row 11; "Short slash date" is dated 03-09-2026</t>
  </si>
  <si>
    <t xml:space="preserve">TC-040</t>
  </si>
  <si>
    <t xml:space="preserve">RC-05.8</t>
  </si>
  <si>
    <t xml:space="preserve">Mixed separators are rejected</t>
  </si>
  <si>
    <t xml:space="preserve">"Rows to fix" includes "Row 4: "03-09/2026" is not a date Reach can read. Write it as DD-MM-YYYY, for example 21-09-2026."</t>
  </si>
  <si>
    <t xml:space="preserve">TC-041</t>
  </si>
  <si>
    <t xml:space="preserve">RC-06</t>
  </si>
  <si>
    <t xml:space="preserve">RC-06.1</t>
  </si>
  <si>
    <t xml:space="preserve">"insta" and "IG" count as Instagram</t>
  </si>
  <si>
    <t xml:space="preserve">1) Click "Choose CSV file" and pick bakery sept FINAL 2.csv. 2) Look at the Instagram section and the "Rows to fix" list.</t>
  </si>
  <si>
    <t xml:space="preserve">Instagram: 2,10,100 views, 23,370 interactions, 8 posts; "Rows to fix" has no line for row 4 or row 6</t>
  </si>
  <si>
    <t xml:space="preserve">BR-08</t>
  </si>
  <si>
    <t xml:space="preserve">TC-042</t>
  </si>
  <si>
    <t xml:space="preserve">RC-06.2</t>
  </si>
  <si>
    <t xml:space="preserve">"YT" counts as YouTube</t>
  </si>
  <si>
    <t xml:space="preserve">1) Click "Choose CSV file" and pick bakery sept FINAL 2.csv. 2) Look at the YouTube section and the "Rows to fix" list.</t>
  </si>
  <si>
    <t xml:space="preserve">YouTube: 2.6%, C (427 ÷ 16,540, which includes row 11); "Rows to fix" has no line for row 11</t>
  </si>
  <si>
    <t xml:space="preserve">TC-043</t>
  </si>
  <si>
    <t xml:space="preserve">RC-06.3</t>
  </si>
  <si>
    <t xml:space="preserve">"INSTAGRAM" in capitals counts as Instagram</t>
  </si>
  <si>
    <t xml:space="preserve">ep2-platform-caps.csv</t>
  </si>
  <si>
    <t xml:space="preserve">1) Click "Choose CSV file" and pick ep2-platform-caps.csv. 2) Look at the Instagram section.</t>
  </si>
  <si>
    <t xml:space="preserve">Instagram: 5.0%, B, 1,000 views, 50 interactions, 1 post; no "Rows to fix" section</t>
  </si>
  <si>
    <t xml:space="preserve">TC-044</t>
  </si>
  <si>
    <t xml:space="preserve">Spaces around " yt " are ignored</t>
  </si>
  <si>
    <t xml:space="preserve">ep2-platform-spaces.csv</t>
  </si>
  <si>
    <t xml:space="preserve">1) Click "Choose CSV file" and pick ep2-platform-spaces.csv. 2) Look at the YouTube section.</t>
  </si>
  <si>
    <t xml:space="preserve">YouTube: 5.0%, B; no "Rows to fix" section</t>
  </si>
  <si>
    <t xml:space="preserve">BR-08, Field spec (Platform)</t>
  </si>
  <si>
    <t xml:space="preserve">TC-045</t>
  </si>
  <si>
    <t xml:space="preserve">Blank platform is listed</t>
  </si>
  <si>
    <t xml:space="preserve">"Rows to fix" includes "Row 4: Platform is empty."</t>
  </si>
  <si>
    <t xml:space="preserve">TC-046</t>
  </si>
  <si>
    <t xml:space="preserve">RC-07</t>
  </si>
  <si>
    <t xml:space="preserve">RC-07.1</t>
  </si>
  <si>
    <t xml:space="preserve">"1,25,000" is read as 1,25,000</t>
  </si>
  <si>
    <t xml:space="preserve">1) Click "Choose CSV file" and pick bakery sept FINAL 2.csv. 2) Look at the second post in the top 3.</t>
  </si>
  <si>
    <t xml:space="preserve">It is row 6, "Teachers' Day cupcakes, free for every teacher who walks in 🧁", with 1,25,000 views, 15,200 interactions, 12.2%, A+</t>
  </si>
  <si>
    <t xml:space="preserve">BR-01, BR-11, BR-12</t>
  </si>
  <si>
    <t xml:space="preserve">TC-047</t>
  </si>
  <si>
    <t xml:space="preserve">RC-07.2</t>
  </si>
  <si>
    <t xml:space="preserve">"12,400" is read as 12,400</t>
  </si>
  <si>
    <t xml:space="preserve">Instagram: 2,10,100 views (includes 12,400 from row 2); "Rows to fix" has no line for row 2</t>
  </si>
  <si>
    <t xml:space="preserve">TC-048</t>
  </si>
  <si>
    <t xml:space="preserve">Western grouping "1,000,000" is read</t>
  </si>
  <si>
    <t xml:space="preserve">ep2-western-commas.csv</t>
  </si>
  <si>
    <t xml:space="preserve">1) Click "Choose CSV file" and pick ep2-western-commas.csv. 2) Look at the Instagram section.</t>
  </si>
  <si>
    <t xml:space="preserve">Instagram: 10,00,000 views, 50,000 interactions, 5.0%, B; no "Rows to fix" section</t>
  </si>
  <si>
    <t xml:space="preserve">TC-049</t>
  </si>
  <si>
    <t xml:space="preserve">Spaces around Views and Likes are ignored</t>
  </si>
  <si>
    <t xml:space="preserve">ep2-number-spaces.csv</t>
  </si>
  <si>
    <t xml:space="preserve">1) Click "Choose CSV file" and pick ep2-number-spaces.csv. 2) Look at the Overall section.</t>
  </si>
  <si>
    <t xml:space="preserve">Overall: 5.0%, B; no "Rows to fix" section</t>
  </si>
  <si>
    <t xml:space="preserve">TC-050</t>
  </si>
  <si>
    <t xml:space="preserve">RC-07.3</t>
  </si>
  <si>
    <t xml:space="preserve">YouTube Saves "NA" counts as 0 with no message</t>
  </si>
  <si>
    <t xml:space="preserve">YouTube: 2.6%, C (427 ÷ 16,540); "Rows to fix" has no line for rows 3, 7, 14, 17 or 23</t>
  </si>
  <si>
    <t xml:space="preserve">TC-051</t>
  </si>
  <si>
    <t xml:space="preserve">RC-07.4</t>
  </si>
  <si>
    <t xml:space="preserve">Instagram Saves "NA" counts as 0 with no message</t>
  </si>
  <si>
    <t xml:space="preserve">ep2-ig-saves-na.csv</t>
  </si>
  <si>
    <t xml:space="preserve">1) Click "Choose CSV file" and pick ep2-ig-saves-na.csv. 2) Look at the Overall section and the whole page.</t>
  </si>
  <si>
    <t xml:space="preserve">Overall: 5.0% (50 ÷ 1,000), B; no "Rows to fix" section</t>
  </si>
  <si>
    <t xml:space="preserve">TC-052</t>
  </si>
  <si>
    <t xml:space="preserve">RC-07.5</t>
  </si>
  <si>
    <t xml:space="preserve">Negative Likes is rejected</t>
  </si>
  <si>
    <t xml:space="preserve">ep2-number-errors.csv</t>
  </si>
  <si>
    <t xml:space="preserve">1) Click "Choose CSV file" and pick ep2-number-errors.csv. 2) Look at the "Rows to fix" list.</t>
  </si>
  <si>
    <t xml:space="preserve">"Rows to fix" includes "Row 3: Likes must be a full number, like 12400 or 12,400. "-5" is not accepted."</t>
  </si>
  <si>
    <t xml:space="preserve">TC-053</t>
  </si>
  <si>
    <t xml:space="preserve">Blank Views is listed</t>
  </si>
  <si>
    <t xml:space="preserve">"Rows to fix" includes "Row 5: Views is empty. Enter 0 if there were none."</t>
  </si>
  <si>
    <t xml:space="preserve">TC-054</t>
  </si>
  <si>
    <t xml:space="preserve">Blank Comments is listed</t>
  </si>
  <si>
    <t xml:space="preserve">"Rows to fix" includes "Row 6: Comments is empty. Enter 0 if there were none."</t>
  </si>
  <si>
    <t xml:space="preserve">TC-055</t>
  </si>
  <si>
    <t xml:space="preserve">"-" in Comments is rejected</t>
  </si>
  <si>
    <t xml:space="preserve">"Rows to fix" includes "Row 8: Comments must be a full number, like 12400 or 12,400. "-" is not accepted."</t>
  </si>
  <si>
    <t xml:space="preserve">TC-056</t>
  </si>
  <si>
    <t xml:space="preserve">Text in Shares is rejected</t>
  </si>
  <si>
    <t xml:space="preserve">"Rows to fix" includes "Row 9: Shares must be a full number, like 12400 or 12,400. "abc" is not accepted."</t>
  </si>
  <si>
    <t xml:space="preserve">TC-057</t>
  </si>
  <si>
    <t xml:space="preserve">Negative Saves is rejected</t>
  </si>
  <si>
    <t xml:space="preserve">"Rows to fix" includes "Row 10: Saves must be a full number, like 12400 or 12,400. "-3" is not accepted."</t>
  </si>
  <si>
    <t xml:space="preserve">TC-058</t>
  </si>
  <si>
    <t xml:space="preserve">RC-07.6</t>
  </si>
  <si>
    <t xml:space="preserve">Decimal Views is rejected</t>
  </si>
  <si>
    <t xml:space="preserve">"Rows to fix" includes "Row 4: Views must be a full number, like 12400 or 12,400. "12.5" is not accepted."</t>
  </si>
  <si>
    <t xml:space="preserve">TC-059</t>
  </si>
  <si>
    <t xml:space="preserve">"NA" in Views is rejected</t>
  </si>
  <si>
    <t xml:space="preserve">"Rows to fix" includes "Row 7: Views must be a full number, like 12400 or 12,400. "NA" is not accepted."</t>
  </si>
  <si>
    <t xml:space="preserve">TC-060</t>
  </si>
  <si>
    <t xml:space="preserve">RC-07.7</t>
  </si>
  <si>
    <t xml:space="preserve">Shares "-" counts as 0 (row 11)</t>
  </si>
  <si>
    <t xml:space="preserve">1) Click "Choose CSV file" and pick bakery sept FINAL 2.csv. 2) Look at the second post in the bottom 3.</t>
  </si>
  <si>
    <t xml:space="preserve">It is row 11, "Customer reviews our new pav", at 1.4% (25 ÷ 1,840), C</t>
  </si>
  <si>
    <t xml:space="preserve">TC-061</t>
  </si>
  <si>
    <t xml:space="preserve">RC-07.8</t>
  </si>
  <si>
    <t xml:space="preserve">Instagram Shares blank counts as 0 with no message</t>
  </si>
  <si>
    <t xml:space="preserve">ep2-ig-shares-blank.csv</t>
  </si>
  <si>
    <t xml:space="preserve">1) Click "Choose CSV file" and pick ep2-ig-shares-blank.csv. 2) Look at the Overall section and the whole page.</t>
  </si>
  <si>
    <t xml:space="preserve">TC-062</t>
  </si>
  <si>
    <t xml:space="preserve">RC-08</t>
  </si>
  <si>
    <t xml:space="preserve">RC-08.1</t>
  </si>
  <si>
    <t xml:space="preserve">Blank rows are not listed or counted</t>
  </si>
  <si>
    <t xml:space="preserve">1) Click "Choose CSV file" and pick bakery sept FINAL 2.csv. 2) Look at the header and the "Rows to fix", "Skipped" and "Too new to grade" lists.</t>
  </si>
  <si>
    <t xml:space="preserve">Header shows "14 posts graded · 9 rows not graded"; no line in any list for row 5, 26 or 27</t>
  </si>
  <si>
    <t xml:space="preserve">BR-14, BR-19</t>
  </si>
  <si>
    <t xml:space="preserve">TC-063</t>
  </si>
  <si>
    <t xml:space="preserve">RC-08.2</t>
  </si>
  <si>
    <t xml:space="preserve">Rows after a blank row keep their Excel numbers</t>
  </si>
  <si>
    <t xml:space="preserve">"Rows to fix" includes "Row 8: Views must be a full number, like 12400 or 12,400. "12.4K" is not accepted."</t>
  </si>
  <si>
    <t xml:space="preserve">TC-064</t>
  </si>
  <si>
    <t xml:space="preserve">Blank row straight after the header still counts for numbering</t>
  </si>
  <si>
    <t xml:space="preserve">ep2-blank-first.csv</t>
  </si>
  <si>
    <t xml:space="preserve">1) Click "Choose CSV file" and pick ep2-blank-first.csv. 2) Look at the "Rows to fix" list.</t>
  </si>
  <si>
    <t xml:space="preserve">"Rows to fix" shows exactly 1 line: "Row 4: Views must be a full number, like 12400 or 12,400. "abc" is not accepted."</t>
  </si>
  <si>
    <t xml:space="preserve">TC-065</t>
  </si>
  <si>
    <t xml:space="preserve">RC-09</t>
  </si>
  <si>
    <t xml:space="preserve">RC-09.1</t>
  </si>
  <si>
    <t xml:space="preserve">Identical rows are counted once</t>
  </si>
  <si>
    <t xml:space="preserve">1) Click "Choose CSV file" and pick bakery sept FINAL 2.csv. 2) Look at the "Skipped" list and the Instagram section.</t>
  </si>
  <si>
    <t xml:space="preserve">"Skipped" shows exactly "Row 13: Same as row 12. Counted once."; Instagram: 8 posts, 2,10,100 views (row 12 counted once)</t>
  </si>
  <si>
    <t xml:space="preserve">BR-13</t>
  </si>
  <si>
    <t xml:space="preserve">TC-066</t>
  </si>
  <si>
    <t xml:space="preserve">Rows that match after trimming spaces are duplicates</t>
  </si>
  <si>
    <t xml:space="preserve">ep2-duplicates.csv</t>
  </si>
  <si>
    <t xml:space="preserve">1) Click "Choose CSV file" and pick ep2-duplicates.csv. 2) Look at the "Skipped" list.</t>
  </si>
  <si>
    <t xml:space="preserve">"Skipped" shows exactly 1 line: "Row 5: Same as row 4. Counted once."</t>
  </si>
  <si>
    <t xml:space="preserve">TC-067</t>
  </si>
  <si>
    <t xml:space="preserve">Identical problem rows are not treated as duplicates</t>
  </si>
  <si>
    <t xml:space="preserve">1) Click "Choose CSV file" and pick ep2-duplicates.csv. 2) Look at the "Rows to fix" and "Skipped" lists.</t>
  </si>
  <si>
    <t xml:space="preserve">"Rows to fix" shows "Row 6: Views must be a full number, like 12400 or 12,400. "abc" is not accepted." and "Row 7: Views must be a full number, like 12400 or 12,400. "abc" is not accepted."; "Skipped" has no line for row 7</t>
  </si>
  <si>
    <t xml:space="preserve">TC-068</t>
  </si>
  <si>
    <t xml:space="preserve">RC-09.2</t>
  </si>
  <si>
    <t xml:space="preserve">Same date, platform and caption with different Views are two posts</t>
  </si>
  <si>
    <t xml:space="preserve">1) Click "Choose CSV file" and pick ep2-duplicates.csv. 2) Look at the Instagram section and the "Skipped" list.</t>
  </si>
  <si>
    <t xml:space="preserve">Instagram: 4,000 views, 140 interactions, 3 posts, 3.5%, B; "Skipped" has no line for row 2 or row 3</t>
  </si>
  <si>
    <t xml:space="preserve">TC-069</t>
  </si>
  <si>
    <t xml:space="preserve">RC-10</t>
  </si>
  <si>
    <t xml:space="preserve">RC-10.1</t>
  </si>
  <si>
    <t xml:space="preserve">0-view post is listed as too new</t>
  </si>
  <si>
    <t xml:space="preserve">1) Click "Choose CSV file" and pick bakery sept FINAL 2.csv. 2) Look at the "Too new to grade" list.</t>
  </si>
  <si>
    <t xml:space="preserve">"Too new to grade" shows exactly "Row 25: 0 views. Not graded yet."</t>
  </si>
  <si>
    <t xml:space="preserve">BR-06</t>
  </si>
  <si>
    <t xml:space="preserve">TC-070</t>
  </si>
  <si>
    <t xml:space="preserve">RC-10.2</t>
  </si>
  <si>
    <t xml:space="preserve">0-view post is left out of totals and rankings</t>
  </si>
  <si>
    <t xml:space="preserve">1) Click "Choose CSV file" and pick bakery sept FINAL 2.csv. 2) Look at the Instagram section, the top 3 and the bottom 3.</t>
  </si>
  <si>
    <t xml:space="preserve">Instagram: 8 posts; "Sneak peek: festive cookie hampers" (row 25) is not in the top 3 or bottom 3</t>
  </si>
  <si>
    <t xml:space="preserve">TC-071</t>
  </si>
  <si>
    <t xml:space="preserve">RC-11</t>
  </si>
  <si>
    <t xml:space="preserve">RC-11.1</t>
  </si>
  <si>
    <t xml:space="preserve">Short forms 12.4K and 1.2L are not accepted in this release</t>
  </si>
  <si>
    <t xml:space="preserve">"Rows to fix" includes "Row 8: Views must be a full number, like 12400 or 12,400. "12.4K" is not accepted." and "Row 22: Views must be a full number, like 12400 or 12,400. "1.2L" is not accepted."</t>
  </si>
  <si>
    <t xml:space="preserve">BR-11</t>
  </si>
  <si>
    <t xml:space="preserve">TC-072</t>
  </si>
  <si>
    <t xml:space="preserve">RC-12</t>
  </si>
  <si>
    <t xml:space="preserve">RC-12.1</t>
  </si>
  <si>
    <t xml:space="preserve">Row 2 interactions and rate</t>
  </si>
  <si>
    <t xml:space="preserve">1) Click "Choose CSV file" and pick bakery sept FINAL 2.csv. 2) Open "All posts". 3) Find the post dated 01-09-2026, "Fresh rusk, straight out of the oven 🍞".</t>
  </si>
  <si>
    <t xml:space="preserve">Interactions 745 (610 + 38 + 45 + 52); rate 6.0%; grade A</t>
  </si>
  <si>
    <t xml:space="preserve">BR-01, BR-02, BR-05</t>
  </si>
  <si>
    <t xml:space="preserve">TC-073</t>
  </si>
  <si>
    <t xml:space="preserve">Row 2 on its own shows 745 interactions in the Instagram section</t>
  </si>
  <si>
    <t xml:space="preserve">ep3-row2-only.csv</t>
  </si>
  <si>
    <t xml:space="preserve">1) Click "Choose CSV file" and pick ep3-row2-only.csv. 2) Look at the Instagram section.</t>
  </si>
  <si>
    <t xml:space="preserve">Instagram: 6.0%, A, 12,400 views, 745 interactions, 1 post</t>
  </si>
  <si>
    <t xml:space="preserve">BR-01, BR-02, BR-05, BR-03</t>
  </si>
  <si>
    <t xml:space="preserve">TC-074</t>
  </si>
  <si>
    <t xml:space="preserve">YouTube Shares and Saves with numbers are counted</t>
  </si>
  <si>
    <t xml:space="preserve">ep3-yt-shares-saves.csv</t>
  </si>
  <si>
    <t xml:space="preserve">1) Click "Choose CSV file" and pick ep3-yt-shares-saves.csv. 2) Look at the Overall section.</t>
  </si>
  <si>
    <t xml:space="preserve">Overall: 5.0% (50 ÷ 1,000), B</t>
  </si>
  <si>
    <t xml:space="preserve">TC-075</t>
  </si>
  <si>
    <t xml:space="preserve">Post with 0 interactions</t>
  </si>
  <si>
    <t xml:space="preserve">ep3-zero-interactions.csv</t>
  </si>
  <si>
    <t xml:space="preserve">1) Click "Choose CSV file" and pick ep3-zero-interactions.csv. 2) Look at the Overall section.</t>
  </si>
  <si>
    <t xml:space="preserve">Overall: 0.0%, D</t>
  </si>
  <si>
    <t xml:space="preserve">BR-01, BR-02, BR-04, BR-05</t>
  </si>
  <si>
    <t xml:space="preserve">TC-076</t>
  </si>
  <si>
    <t xml:space="preserve">Very large numbers shown in Indian format</t>
  </si>
  <si>
    <t xml:space="preserve">ep3-large-numbers.csv</t>
  </si>
  <si>
    <t xml:space="preserve">1) Click "Choose CSV file" and pick ep3-large-numbers.csv. 2) Look at the Instagram section.</t>
  </si>
  <si>
    <t xml:space="preserve">Instagram: 5.0%, B, 1,00,00,000 views, 5,00,000 interactions, 1 post</t>
  </si>
  <si>
    <t xml:space="preserve">BR-01, BR-02, BR-11</t>
  </si>
  <si>
    <t xml:space="preserve">TC-077</t>
  </si>
  <si>
    <t xml:space="preserve">RC-12.2</t>
  </si>
  <si>
    <t xml:space="preserve">YouTube Saves "NA" counts as 0</t>
  </si>
  <si>
    <t xml:space="preserve">1) Click "Choose CSV file" and pick bakery sept FINAL 2.csv. 2) Open "All posts". 3) Find the post dated 02-09-2026, "How we make our eggless chocolate cake".</t>
  </si>
  <si>
    <t xml:space="preserve">Interactions 111 (96 + 11 + 4 + 0); rate 3.5%; grade B</t>
  </si>
  <si>
    <t xml:space="preserve">BR-01, BR-02, BR-05, BR-12</t>
  </si>
  <si>
    <t xml:space="preserve">TC-078</t>
  </si>
  <si>
    <t xml:space="preserve">"N/A" and "n/a" in Shares and Saves count as 0</t>
  </si>
  <si>
    <t xml:space="preserve">ep3-na-variants.csv</t>
  </si>
  <si>
    <t xml:space="preserve">1) Click "Choose CSV file" and pick ep3-na-variants.csv. 2) Look at the Overall section and below the report.</t>
  </si>
  <si>
    <t xml:space="preserve">BR-01, BR-02, BR-12</t>
  </si>
  <si>
    <t xml:space="preserve">TC-079</t>
  </si>
  <si>
    <t xml:space="preserve">RC-12.3</t>
  </si>
  <si>
    <t xml:space="preserve">Rate rounded to one decimal</t>
  </si>
  <si>
    <t xml:space="preserve">1) Click "Choose CSV file" and pick bakery sept FINAL 2.csv. 2) Open "All posts". 3) Find the post dated 03-09-2026, "Weekend special: kaju katli box".</t>
  </si>
  <si>
    <t xml:space="preserve">Rate 9.7% (1,831 ÷ 18,900 = 9.6878%); grade A</t>
  </si>
  <si>
    <t xml:space="preserve">TC-080</t>
  </si>
  <si>
    <t xml:space="preserve">RC-13</t>
  </si>
  <si>
    <t xml:space="preserve">RC-13.1</t>
  </si>
  <si>
    <t xml:space="preserve">Month rate and grade for the sample file</t>
  </si>
  <si>
    <t xml:space="preserve">1) Click "Choose CSV file" and pick bakery sept FINAL 2.csv. 2) Look at the Overall section.</t>
  </si>
  <si>
    <t xml:space="preserve">Overall: 10.5% (23,797 ÷ 2,26,640 = 10.4999%), A+</t>
  </si>
  <si>
    <t xml:space="preserve">BR-03, BR-04, BR-05</t>
  </si>
  <si>
    <t xml:space="preserve">TC-081</t>
  </si>
  <si>
    <t xml:space="preserve">Month rate is total ÷ total, not an average of post rates</t>
  </si>
  <si>
    <t xml:space="preserve">ep3-total-not-average.csv</t>
  </si>
  <si>
    <t xml:space="preserve">1) Click "Choose CSV file" and pick ep3-total-not-average.csv. 2) Look at the Overall and Instagram sections.</t>
  </si>
  <si>
    <t xml:space="preserve">Overall: 1.5% (150 ÷ 10,100 = 1.4851%), C; Instagram: 1.5%, C, 10,100 views, 150 interactions, 2 posts. Not 25.5%</t>
  </si>
  <si>
    <t xml:space="preserve">TC-082</t>
  </si>
  <si>
    <t xml:space="preserve">Month rate exactly on a half rounds up</t>
  </si>
  <si>
    <t xml:space="preserve">ep3-month-half-up.csv</t>
  </si>
  <si>
    <t xml:space="preserve">1) Click "Choose CSV file" and pick ep3-month-half-up.csv. 2) Look at the Overall and Instagram sections.</t>
  </si>
  <si>
    <t xml:space="preserve">Overall: 3.0% (295 ÷ 10,000 = 2.95%), B; Instagram: 10,000 views, 295 interactions, 2 posts</t>
  </si>
  <si>
    <t xml:space="preserve">TC-083</t>
  </si>
  <si>
    <t xml:space="preserve">RC-13.2</t>
  </si>
  <si>
    <t xml:space="preserve">Problem, duplicate and 0-view rows are left out of the totals</t>
  </si>
  <si>
    <t xml:space="preserve">1) Click "Choose CSV file" and pick bakery sept FINAL 2.csv. 2) Look at the header and the Overall, Instagram and YouTube sections.</t>
  </si>
  <si>
    <t xml:space="preserve">Header: "14 posts graded"; Overall: 10.5%, A+; Instagram: 2,10,100 views, 23,370 interactions, 8 posts; YouTube: 2.6%, C. (If row 13 were counted, Overall would be 10.2%.)</t>
  </si>
  <si>
    <t xml:space="preserve">BR-03, BR-06, BR-07, BR-13</t>
  </si>
  <si>
    <t xml:space="preserve">TC-084</t>
  </si>
  <si>
    <t xml:space="preserve">Row with an invalid number is left out of the month rate</t>
  </si>
  <si>
    <t xml:space="preserve">ep3-problem-row-excluded.csv</t>
  </si>
  <si>
    <t xml:space="preserve">1) Click "Choose CSV file" and pick ep3-problem-row-excluded.csv. 2) Look at the Overall and Instagram sections and the "Rows to fix" list.</t>
  </si>
  <si>
    <t xml:space="preserve">Overall: 5.0%, B; Instagram: 1,000 views, 50 interactions, 1 post; "Rows to fix": Row 3: Likes must be a full number, like 12400 or 12,400. "abc" is not accepted.</t>
  </si>
  <si>
    <t xml:space="preserve">BR-03, BR-06, BR-07, BR-12</t>
  </si>
  <si>
    <t xml:space="preserve">TC-085</t>
  </si>
  <si>
    <t xml:space="preserve">0-view row with likes adds nothing to the totals</t>
  </si>
  <si>
    <t xml:space="preserve">ep3-zero-views-excluded.csv</t>
  </si>
  <si>
    <t xml:space="preserve">1) Click "Choose CSV file" and pick ep3-zero-views-excluded.csv. 2) Look at the Overall and Instagram sections and the "Too new to grade" list.</t>
  </si>
  <si>
    <t xml:space="preserve">Overall: 5.0%, B; Instagram: 1,000 views, 50 interactions, 1 post; "Too new to grade": Row 3: 0 views. Not graded yet.</t>
  </si>
  <si>
    <t xml:space="preserve">BR-03, BR-06</t>
  </si>
  <si>
    <t xml:space="preserve">TC-086</t>
  </si>
  <si>
    <t xml:space="preserve">RC-14</t>
  </si>
  <si>
    <t xml:space="preserve">RC-14.1</t>
  </si>
  <si>
    <t xml:space="preserve">Instagram rate and grade for the sample file</t>
  </si>
  <si>
    <t xml:space="preserve">1) Click "Choose CSV file" and pick bakery sept FINAL 2.csv. 2) Look at the Instagram section.</t>
  </si>
  <si>
    <t xml:space="preserve">Instagram: 11.1% (23,370 ÷ 2,10,100), A+</t>
  </si>
  <si>
    <t xml:space="preserve">BR-03, BR-04</t>
  </si>
  <si>
    <t xml:space="preserve">TC-087</t>
  </si>
  <si>
    <t xml:space="preserve">RC-14.2</t>
  </si>
  <si>
    <t xml:space="preserve">YouTube rate and grade for the sample file</t>
  </si>
  <si>
    <t xml:space="preserve">1) Click "Choose CSV file" and pick bakery sept FINAL 2.csv. 2) Look at the YouTube section.</t>
  </si>
  <si>
    <t xml:space="preserve">YouTube: 2.6% (427 ÷ 16,540), C</t>
  </si>
  <si>
    <t xml:space="preserve">TC-088</t>
  </si>
  <si>
    <t xml:space="preserve">RC-14.3</t>
  </si>
  <si>
    <t xml:space="preserve">No YouTube rows in the file</t>
  </si>
  <si>
    <t xml:space="preserve">ep3-no-youtube.csv</t>
  </si>
  <si>
    <t xml:space="preserve">1) Click "Choose CSV file" and pick ep3-no-youtube.csv. 2) Look at the Overall, Instagram and YouTube sections.</t>
  </si>
  <si>
    <t xml:space="preserve">YouTube: "No graded YouTube posts this month" and no grade; Instagram: 5.0%, B; Overall: 5.0%, B</t>
  </si>
  <si>
    <t xml:space="preserve">TC-089</t>
  </si>
  <si>
    <t xml:space="preserve">YouTube rows with 0 views only</t>
  </si>
  <si>
    <t xml:space="preserve">ep3-youtube-zero-views.csv</t>
  </si>
  <si>
    <t xml:space="preserve">1) Click "Choose CSV file" and pick ep3-youtube-zero-views.csv. 2) Look at the YouTube section and the "Too new to grade" list.</t>
  </si>
  <si>
    <t xml:space="preserve">YouTube: "No graded YouTube posts this month" and no grade; "Too new to grade": Row 3: 0 views. Not graded yet.</t>
  </si>
  <si>
    <t xml:space="preserve">TC-090</t>
  </si>
  <si>
    <t xml:space="preserve">YouTube rows with problems only</t>
  </si>
  <si>
    <t xml:space="preserve">ep3-youtube-all-errors.csv</t>
  </si>
  <si>
    <t xml:space="preserve">1) Click "Choose CSV file" and pick ep3-youtube-all-errors.csv. 2) Look at the YouTube section and the "Rows to fix" list.</t>
  </si>
  <si>
    <t xml:space="preserve">YouTube: "No graded YouTube posts this month" and no grade; "Rows to fix": Row 3: Views must be a full number, like 12400 or 12,400. "12.4K" is not accepted.</t>
  </si>
  <si>
    <t xml:space="preserve">BR-03, BR-07, BR-11</t>
  </si>
  <si>
    <t xml:space="preserve">TC-091</t>
  </si>
  <si>
    <t xml:space="preserve">RC-14.4</t>
  </si>
  <si>
    <t xml:space="preserve">One graded YouTube post still gets a grade</t>
  </si>
  <si>
    <t xml:space="preserve">ep3-one-youtube.csv</t>
  </si>
  <si>
    <t xml:space="preserve">1) Click "Choose CSV file" and pick ep3-one-youtube.csv. 2) Look at the YouTube section.</t>
  </si>
  <si>
    <t xml:space="preserve">YouTube: 3.5% (70 ÷ 2,000), B</t>
  </si>
  <si>
    <t xml:space="preserve">TC-092</t>
  </si>
  <si>
    <t xml:space="preserve">RC-15</t>
  </si>
  <si>
    <t xml:space="preserve">RC-15.1</t>
  </si>
  <si>
    <t xml:space="preserve">10.0% is A+</t>
  </si>
  <si>
    <t xml:space="preserve">ep3-rate-10-0.csv</t>
  </si>
  <si>
    <t xml:space="preserve">1) Click "Choose CSV file" and pick ep3-rate-10-0.csv. 2) Look at the Overall section.</t>
  </si>
  <si>
    <t xml:space="preserve">Overall: 10.0%, A+</t>
  </si>
  <si>
    <t xml:space="preserve">BR-04, BR-05</t>
  </si>
  <si>
    <t xml:space="preserve">TC-093</t>
  </si>
  <si>
    <t xml:space="preserve">9.95% rounds up to 10.0% and gets A+</t>
  </si>
  <si>
    <t xml:space="preserve">ep3-rate-9-95.csv</t>
  </si>
  <si>
    <t xml:space="preserve">1) Click "Choose CSV file" and pick ep3-rate-9-95.csv. 2) Look at the Overall section.</t>
  </si>
  <si>
    <t xml:space="preserve">Overall: 10.0% (199 ÷ 2,000 = 9.95%), A+</t>
  </si>
  <si>
    <t xml:space="preserve">TC-094</t>
  </si>
  <si>
    <t xml:space="preserve">RC-15.2</t>
  </si>
  <si>
    <t xml:space="preserve">9.9% is A</t>
  </si>
  <si>
    <t xml:space="preserve">ep3-rate-9-9.csv</t>
  </si>
  <si>
    <t xml:space="preserve">1) Click "Choose CSV file" and pick ep3-rate-9-9.csv. 2) Look at the Overall section.</t>
  </si>
  <si>
    <t xml:space="preserve">Overall: 9.9%, A</t>
  </si>
  <si>
    <t xml:space="preserve">TC-095</t>
  </si>
  <si>
    <t xml:space="preserve">9.94% rounds down to 9.9% and gets A</t>
  </si>
  <si>
    <t xml:space="preserve">ep3-rate-9-94.csv</t>
  </si>
  <si>
    <t xml:space="preserve">1) Click "Choose CSV file" and pick ep3-rate-9-94.csv. 2) Look at the Overall section.</t>
  </si>
  <si>
    <t xml:space="preserve">Overall: 9.9% (497 ÷ 5,000 = 9.94%), A</t>
  </si>
  <si>
    <t xml:space="preserve">TC-096</t>
  </si>
  <si>
    <t xml:space="preserve">RC-15.3</t>
  </si>
  <si>
    <t xml:space="preserve">6.0% is A</t>
  </si>
  <si>
    <t xml:space="preserve">ep3-rate-6-0.csv</t>
  </si>
  <si>
    <t xml:space="preserve">1) Click "Choose CSV file" and pick ep3-rate-6-0.csv. 2) Look at the Overall section.</t>
  </si>
  <si>
    <t xml:space="preserve">Overall: 6.0%, A</t>
  </si>
  <si>
    <t xml:space="preserve">TC-097</t>
  </si>
  <si>
    <t xml:space="preserve">5.95% rounds up to 6.0% and gets A</t>
  </si>
  <si>
    <t xml:space="preserve">ep3-rate-5-95.csv</t>
  </si>
  <si>
    <t xml:space="preserve">1) Click "Choose CSV file" and pick ep3-rate-5-95.csv. 2) Look at the Overall section.</t>
  </si>
  <si>
    <t xml:space="preserve">Overall: 6.0% (119 ÷ 2,000 = 5.95%), A</t>
  </si>
  <si>
    <t xml:space="preserve">TC-098</t>
  </si>
  <si>
    <t xml:space="preserve">RC-15.4</t>
  </si>
  <si>
    <t xml:space="preserve">5.9% is B</t>
  </si>
  <si>
    <t xml:space="preserve">ep3-rate-5-9.csv</t>
  </si>
  <si>
    <t xml:space="preserve">1) Click "Choose CSV file" and pick ep3-rate-5-9.csv. 2) Look at the Overall section.</t>
  </si>
  <si>
    <t xml:space="preserve">Overall: 5.9%, B</t>
  </si>
  <si>
    <t xml:space="preserve">TC-099</t>
  </si>
  <si>
    <t xml:space="preserve">RC-15.5</t>
  </si>
  <si>
    <t xml:space="preserve">3.0% is B</t>
  </si>
  <si>
    <t xml:space="preserve">ep3-rate-3-0.csv</t>
  </si>
  <si>
    <t xml:space="preserve">1) Click "Choose CSV file" and pick ep3-rate-3-0.csv. 2) Look at the Overall section.</t>
  </si>
  <si>
    <t xml:space="preserve">Overall: 3.0%, B</t>
  </si>
  <si>
    <t xml:space="preserve">TC-100</t>
  </si>
  <si>
    <t xml:space="preserve">2.95% rounds up to 3.0% and gets B</t>
  </si>
  <si>
    <t xml:space="preserve">ep3-rate-2-95.csv</t>
  </si>
  <si>
    <t xml:space="preserve">1) Click "Choose CSV file" and pick ep3-rate-2-95.csv. 2) Look at the Overall section.</t>
  </si>
  <si>
    <t xml:space="preserve">Overall: 3.0% (59 ÷ 2,000 = 2.95%), B</t>
  </si>
  <si>
    <t xml:space="preserve">TC-101</t>
  </si>
  <si>
    <t xml:space="preserve">RC-15.6</t>
  </si>
  <si>
    <t xml:space="preserve">2.9% is C</t>
  </si>
  <si>
    <t xml:space="preserve">ep3-rate-2-9.csv</t>
  </si>
  <si>
    <t xml:space="preserve">1) Click "Choose CSV file" and pick ep3-rate-2-9.csv. 2) Look at the Overall section.</t>
  </si>
  <si>
    <t xml:space="preserve">Overall: 2.9%, C</t>
  </si>
  <si>
    <t xml:space="preserve">TC-102</t>
  </si>
  <si>
    <t xml:space="preserve">RC-15.7</t>
  </si>
  <si>
    <t xml:space="preserve">1.0% is C</t>
  </si>
  <si>
    <t xml:space="preserve">ep3-rate-1-0.csv</t>
  </si>
  <si>
    <t xml:space="preserve">1) Click "Choose CSV file" and pick ep3-rate-1-0.csv. 2) Look at the Overall section.</t>
  </si>
  <si>
    <t xml:space="preserve">Overall: 1.0%, C</t>
  </si>
  <si>
    <t xml:space="preserve">TC-103</t>
  </si>
  <si>
    <t xml:space="preserve">0.95% rounds up to 1.0% and gets C</t>
  </si>
  <si>
    <t xml:space="preserve">ep3-rate-0-95.csv</t>
  </si>
  <si>
    <t xml:space="preserve">1) Click "Choose CSV file" and pick ep3-rate-0-95.csv. 2) Look at the Overall section.</t>
  </si>
  <si>
    <t xml:space="preserve">Overall: 1.0% (19 ÷ 2,000 = 0.95%), C</t>
  </si>
  <si>
    <t xml:space="preserve">TC-104</t>
  </si>
  <si>
    <t xml:space="preserve">RC-15.8</t>
  </si>
  <si>
    <t xml:space="preserve">0.9% is D</t>
  </si>
  <si>
    <t xml:space="preserve">ep3-rate-0-9.csv</t>
  </si>
  <si>
    <t xml:space="preserve">1) Click "Choose CSV file" and pick ep3-rate-0-9.csv. 2) Look at the Overall section.</t>
  </si>
  <si>
    <t xml:space="preserve">Overall: 0.9%, D</t>
  </si>
  <si>
    <t xml:space="preserve">TC-105</t>
  </si>
  <si>
    <t xml:space="preserve">RC-15.9</t>
  </si>
  <si>
    <t xml:space="preserve">Grade comes from the rounded rate (row 7)</t>
  </si>
  <si>
    <t xml:space="preserve">1) Click "Choose CSV file" and pick bakery sept FINAL 2.csv. 2) Open "All posts". 3) Find the post dated 06-09-2026, "Bakery tour in 60 seconds".</t>
  </si>
  <si>
    <t xml:space="preserve">Rate 3.0% (155 ÷ 5,200 = 2.98%); grade B</t>
  </si>
  <si>
    <t xml:space="preserve">TC-106</t>
  </si>
  <si>
    <t xml:space="preserve">RC-16</t>
  </si>
  <si>
    <t xml:space="preserve">RC-16.1</t>
  </si>
  <si>
    <t xml:space="preserve">Post in the bottom 3 shows its own grade</t>
  </si>
  <si>
    <t xml:space="preserve">1) Click "Choose CSV file" and pick bakery sept FINAL 2.csv. 2) Look at the bottom 3. 3) Find the post dated 17-09-2026, "Full recipe: bakery-style bun maska".</t>
  </si>
  <si>
    <t xml:space="preserve">Rate 0.8% (9 ÷ 1,120); grade D</t>
  </si>
  <si>
    <t xml:space="preserve">Should</t>
  </si>
  <si>
    <t xml:space="preserve">TC-107</t>
  </si>
  <si>
    <t xml:space="preserve">Post in "All posts, best to worst" shows its own grade</t>
  </si>
  <si>
    <t xml:space="preserve">1) Click "Choose CSV file" and pick ep3-rate-0-9.csv. 2) Look at the "All posts, best to worst" list.</t>
  </si>
  <si>
    <t xml:space="preserve">The post "Boundary test" shows 0.9% and D</t>
  </si>
  <si>
    <t xml:space="preserve">BR-04, BR-05, BR-17</t>
  </si>
  <si>
    <t xml:space="preserve">TC-108</t>
  </si>
  <si>
    <t xml:space="preserve">RC-17</t>
  </si>
  <si>
    <t xml:space="preserve">RC-17.1</t>
  </si>
  <si>
    <t xml:space="preserve">Header names the month and the file</t>
  </si>
  <si>
    <t xml:space="preserve">1) Click "Choose CSV file" and pick bakery sept FINAL 2.csv. 2) Look at the header.</t>
  </si>
  <si>
    <t xml:space="preserve">Header shows "September 2026" and "bakery sept FINAL 2.csv"</t>
  </si>
  <si>
    <t xml:space="preserve">BR-10</t>
  </si>
  <si>
    <t xml:space="preserve">TC-109</t>
  </si>
  <si>
    <t xml:space="preserve">Report month is the month with the most rows</t>
  </si>
  <si>
    <t xml:space="preserve">ep4-month-majority.csv</t>
  </si>
  <si>
    <t xml:space="preserve">1) Click "Choose CSV file" and pick ep4-month-majority.csv. 2) Look at the header and the "Rows to fix" list.</t>
  </si>
  <si>
    <t xml:space="preserve">Header shows "August 2026"; "Rows to fix" shows exactly "Row 5: 10-09-2026 is not in August 2026. Upload one month per file."</t>
  </si>
  <si>
    <t xml:space="preserve">TC-110</t>
  </si>
  <si>
    <t xml:space="preserve">When two months tie, the later month is used</t>
  </si>
  <si>
    <t xml:space="preserve">ep4-month-tie.csv</t>
  </si>
  <si>
    <t xml:space="preserve">1) Click "Choose CSV file" and pick ep4-month-tie.csv. 2) Look at the header and the "Rows to fix" list.</t>
  </si>
  <si>
    <t xml:space="preserve">Header shows "September 2026"; "Rows to fix" shows exactly "Row 2: 10-08-2026 is not in September 2026. Upload one month per file." and "Row 3: 11-08-2026 is not in September 2026. Upload one month per file."</t>
  </si>
  <si>
    <t xml:space="preserve">TC-111</t>
  </si>
  <si>
    <t xml:space="preserve">Future-dated rows don't count towards the report month</t>
  </si>
  <si>
    <t xml:space="preserve">ep4-month-future.csv</t>
  </si>
  <si>
    <t xml:space="preserve">1) Click "Choose CSV file" and pick ep4-month-future.csv. 2) Look at the header and the "Rows to fix" list.</t>
  </si>
  <si>
    <t xml:space="preserve">Header shows "September 2026"; "Rows to fix" shows exactly "Row 2: 10-10-2026 is in the future." and "Row 3: 11-10-2026 is in the future."</t>
  </si>
  <si>
    <t xml:space="preserve">BR-10, BR-09</t>
  </si>
  <si>
    <t xml:space="preserve">TC-112</t>
  </si>
  <si>
    <t xml:space="preserve">RC-17.2</t>
  </si>
  <si>
    <t xml:space="preserve">Header shows the post and row counts</t>
  </si>
  <si>
    <t xml:space="preserve">Header shows "14 posts graded · 9 rows not graded"</t>
  </si>
  <si>
    <t xml:space="preserve">TC-113</t>
  </si>
  <si>
    <t xml:space="preserve">RC-18</t>
  </si>
  <si>
    <t xml:space="preserve">RC-18.1</t>
  </si>
  <si>
    <t xml:space="preserve">Grades appear as Overall, Instagram, YouTube</t>
  </si>
  <si>
    <t xml:space="preserve">1) Click "Choose CSV file" and pick bakery sept FINAL 2.csv. 2) Look at the grades at the top.</t>
  </si>
  <si>
    <t xml:space="preserve">The grades appear in this order: Overall, Instagram, YouTube</t>
  </si>
  <si>
    <t xml:space="preserve">BR-03</t>
  </si>
  <si>
    <t xml:space="preserve">TC-114</t>
  </si>
  <si>
    <t xml:space="preserve">RC-18.2</t>
  </si>
  <si>
    <t xml:space="preserve">Instagram section figures</t>
  </si>
  <si>
    <t xml:space="preserve">Instagram shows A+, 11.1%, 2,10,100 views, 23,370 interactions and 8 posts</t>
  </si>
  <si>
    <t xml:space="preserve">TC-115</t>
  </si>
  <si>
    <t xml:space="preserve">RC-18.3</t>
  </si>
  <si>
    <t xml:space="preserve">Overall grade visible without scrolling on a phone</t>
  </si>
  <si>
    <t xml:space="preserve">Report card page open on a phone 360 px wide; device date 28-09-2026; no report showing; screen 360 × 640 px</t>
  </si>
  <si>
    <t xml:space="preserve">1) Tap "Choose CSV file" and pick bakery sept FINAL 2.csv. 2) Without scrolling, look at the screen.</t>
  </si>
  <si>
    <t xml:space="preserve">The Overall grade A+ is visible without scrolling</t>
  </si>
  <si>
    <t xml:space="preserve">TC-116</t>
  </si>
  <si>
    <t xml:space="preserve">RC-19</t>
  </si>
  <si>
    <t xml:space="preserve">RC-19.1</t>
  </si>
  <si>
    <t xml:space="preserve">Top 3 posts in order</t>
  </si>
  <si>
    <t xml:space="preserve">1) Click "Choose CSV file" and pick bakery sept FINAL 2.csv. 2) Look at the top 3.</t>
  </si>
  <si>
    <t xml:space="preserve">1. Row 18, "Giveaway! Tag a friend who loves cake 🎂", 55.9%, A+; 2. Row 6, "Teachers' Day cupcakes, free for every teacher who walks in 🧁", 12.2%, A+; 3. Row 10, "नई ब्रांच खुल गई! आप सबका शुक्रिया 🎉", 9.7%, A</t>
  </si>
  <si>
    <t xml:space="preserve">BR-15, BR-16</t>
  </si>
  <si>
    <t xml:space="preserve">TC-117</t>
  </si>
  <si>
    <t xml:space="preserve">RC-19.2</t>
  </si>
  <si>
    <t xml:space="preserve">Ranking uses the unrounded rate</t>
  </si>
  <si>
    <t xml:space="preserve">Third place is row 10 (9.71%, shown 9.7%); row 4 "Weekend special: kaju katli box" (9.69%, shown 9.7%) is not in the top 3</t>
  </si>
  <si>
    <t xml:space="preserve">TC-118</t>
  </si>
  <si>
    <t xml:space="preserve">RC-19.3</t>
  </si>
  <si>
    <t xml:space="preserve">Each top-3 post shows all its details</t>
  </si>
  <si>
    <t xml:space="preserve">1) Click "Choose CSV file" and pick bakery sept FINAL 2.csv. 2) Look at each post in the top 3.</t>
  </si>
  <si>
    <t xml:space="preserve">1. 18-09-2026, Instagram, "Giveaway! Tag a friend who loves cake 🎂", 4,300 views, 2,402 interactions, 55.9%, A+; 2. 05-09-2026, platform as agreed in Q-03 ("IG" in the file), "Teachers' Day cupcakes, free for every teacher who walks in 🧁", 1,25,000 views, 15,200 interactions, 12.2%, A+; 3. 09-09-2026, Instagram, "नई ब्रांच खुल गई! आप सबका शुक्रिया 🎉", 21,700 views, 2,108 interactions, 9.7%, A</t>
  </si>
  <si>
    <t xml:space="preserve">TC-119</t>
  </si>
  <si>
    <t xml:space="preserve">RC-19.4</t>
  </si>
  <si>
    <t xml:space="preserve">Exact tie: more views ranks higher</t>
  </si>
  <si>
    <t xml:space="preserve">ep4-tie-views.csv</t>
  </si>
  <si>
    <t xml:space="preserve">1) Click "Choose CSV file" and pick ep4-tie-views.csv. 2) Look at the top 3.</t>
  </si>
  <si>
    <t xml:space="preserve">1. "Tie more views", 20.0%, A+; 2. "Tie fewer views", 20.0%, A+; 3. "Filler one", 5.0%, B</t>
  </si>
  <si>
    <t xml:space="preserve">TC-120</t>
  </si>
  <si>
    <t xml:space="preserve">Exact tie with equal views: earlier date ranks higher</t>
  </si>
  <si>
    <t xml:space="preserve">ep4-tie-date.csv</t>
  </si>
  <si>
    <t xml:space="preserve">1) Click "Choose CSV file" and pick ep4-tie-date.csv. 2) Look at the top 3.</t>
  </si>
  <si>
    <t xml:space="preserve">1. "Tie earlier date", 30.0%, A+; 2. "Tie later date", 30.0%, A+; 3. "Filler one", 5.0%, B</t>
  </si>
  <si>
    <t xml:space="preserve">TC-121</t>
  </si>
  <si>
    <t xml:space="preserve">Exact tie with equal views and date: lower row number ranks higher</t>
  </si>
  <si>
    <t xml:space="preserve">ep4-tie-row.csv</t>
  </si>
  <si>
    <t xml:space="preserve">1) Click "Choose CSV file" and pick ep4-tie-row.csv. 2) Look at the top 3.</t>
  </si>
  <si>
    <t xml:space="preserve">1. "Tie first row", 30.0%, A+; 2. "Tie second row", 30.0%, A+; 3. "Filler one", 5.0%, B</t>
  </si>
  <si>
    <t xml:space="preserve">TC-122</t>
  </si>
  <si>
    <t xml:space="preserve">RC-19.5</t>
  </si>
  <si>
    <t xml:space="preserve">Notes "Giveaway" on row 18 is not shown</t>
  </si>
  <si>
    <t xml:space="preserve">1) Click "Choose CSV file" and pick bakery sept FINAL 2.csv. 2) Look at the first post in the top 3. 3) Use the browser's Find (Ctrl+F) to search the page for "Giveaway".</t>
  </si>
  <si>
    <t xml:space="preserve">The word "Giveaway" appears only inside the caption "Giveaway! Tag a friend who loves cake 🎂", never on its own. Blocked until Q-01 is answered</t>
  </si>
  <si>
    <t xml:space="preserve">TC-123</t>
  </si>
  <si>
    <t xml:space="preserve">No Notes text from the sample file appears anywhere</t>
  </si>
  <si>
    <t xml:space="preserve">1) Click "Choose CSV file" and pick bakery sept FINAL 2.csv. 2) Use the browser's Find (Ctrl+F) to search the page for each of: "Boosted ₹500", "Collab with a food blogger", "Our best one!!", "Posted today".</t>
  </si>
  <si>
    <t xml:space="preserve">Each search finds 0 matches</t>
  </si>
  <si>
    <t xml:space="preserve">BR-15</t>
  </si>
  <si>
    <t xml:space="preserve">TC-124</t>
  </si>
  <si>
    <t xml:space="preserve">Notes text never shows and doesn't change the grade</t>
  </si>
  <si>
    <t xml:space="preserve">ep4-notes-hidden.csv</t>
  </si>
  <si>
    <t xml:space="preserve">1) Click "Choose CSV file" and pick ep4-notes-hidden.csv. 2) Use the browser's Find (Ctrl+F) to search the page for "NOTE-SHOULD-NOT-SHOW". 3) Look at the Overall section.</t>
  </si>
  <si>
    <t xml:space="preserve">The search finds 0 matches; Overall: 17.5% (350 ÷ 2,000), A+</t>
  </si>
  <si>
    <t xml:space="preserve">TC-125</t>
  </si>
  <si>
    <t xml:space="preserve">RC-20</t>
  </si>
  <si>
    <t xml:space="preserve">RC-20.1</t>
  </si>
  <si>
    <t xml:space="preserve">Bottom 3 posts, worst first</t>
  </si>
  <si>
    <t xml:space="preserve">1) Click "Choose CSV file" and pick bakery sept FINAL 2.csv. 2) Look at the bottom 3.</t>
  </si>
  <si>
    <t xml:space="preserve">1. Row 17, 0.8%, D; 2. Row 11, 1.4%, C; 3. Row 23, 2.2%, C</t>
  </si>
  <si>
    <t xml:space="preserve">BR-16, BR-17</t>
  </si>
  <si>
    <t xml:space="preserve">TC-126</t>
  </si>
  <si>
    <t xml:space="preserve">RC-20.2</t>
  </si>
  <si>
    <t xml:space="preserve">Fourth-worst post is not in the bottom 3</t>
  </si>
  <si>
    <t xml:space="preserve">Row 16, "Staff picks: our top 5 breads" (2.7%), is not in the bottom 3</t>
  </si>
  <si>
    <t xml:space="preserve">TC-127</t>
  </si>
  <si>
    <t xml:space="preserve">RC-20.3</t>
  </si>
  <si>
    <t xml:space="preserve">Five graded posts give one list</t>
  </si>
  <si>
    <t xml:space="preserve">ep4-five-posts.csv</t>
  </si>
  <si>
    <t xml:space="preserve">1) Click "Choose CSV file" and pick ep4-five-posts.csv. 2) Look at the posts shown under the grades.</t>
  </si>
  <si>
    <t xml:space="preserve">One list titled "All posts, best to worst" is shown, in this order: "Post A" 5.0% B; "Post B" 4.0% B; "Post C" 3.0% B; "Post D" 2.0% C; "Post E" 1.0% C. No top 3 and no bottom 3</t>
  </si>
  <si>
    <t xml:space="preserve">TC-128</t>
  </si>
  <si>
    <t xml:space="preserve">Six graded posts give a top 3 and a bottom 3</t>
  </si>
  <si>
    <t xml:space="preserve">ep4-six-posts.csv</t>
  </si>
  <si>
    <t xml:space="preserve">1) Click "Choose CSV file" and pick ep4-six-posts.csv. 2) Look at the posts shown under the grades.</t>
  </si>
  <si>
    <t xml:space="preserve">Top 3: "Post A" 6.0% A; "Post B" 5.0% B; "Post C" 4.0% B. Bottom 3, worst first: "Post F" 1.0% C; "Post E" 2.0% C; "Post D" 3.0% B. No "All posts, best to worst" list</t>
  </si>
  <si>
    <t xml:space="preserve">TC-129</t>
  </si>
  <si>
    <t xml:space="preserve">RC-21</t>
  </si>
  <si>
    <t xml:space="preserve">RC-21.1</t>
  </si>
  <si>
    <t xml:space="preserve">"All posts" lists all 14 graded posts by date</t>
  </si>
  <si>
    <t xml:space="preserve">1) Click "Choose CSV file" and pick bakery sept FINAL 2.csv. 2) Open "All posts".</t>
  </si>
  <si>
    <t xml:space="preserve">14 posts, earliest first: 01-09-2026 6.0% A; 02-09-2026 3.5% B; 03-09-2026 9.7% A; 05-09-2026 12.2% A+; 06-09-2026 3.0% B; 09-09-2026 9.7% A; 10-09-2026 1.4% C; 11-09-2026 4.1% B; 13-09-2026 2.7% C; 16-09-2026 2.7% C; 17-09-2026 0.8% D; 18-09-2026 55.9% A+; 22-09-2026 4.4% B; 25-09-2026 2.2% C. Row 25 (26-09-2026) is not listed</t>
  </si>
  <si>
    <t xml:space="preserve">Could</t>
  </si>
  <si>
    <t xml:space="preserve">TC-130</t>
  </si>
  <si>
    <t xml:space="preserve">RC-22</t>
  </si>
  <si>
    <t xml:space="preserve">RC-22.1</t>
  </si>
  <si>
    <t xml:space="preserve">Grade scale is shown</t>
  </si>
  <si>
    <t xml:space="preserve">1) Click "Choose CSV file" and pick bakery sept FINAL 2.csv. 2) Look at below the grades.</t>
  </si>
  <si>
    <t xml:space="preserve">This text is shown: "A+ 10% and above · A 6% to 9.9% · B 3% to 5.9% · C 1% to 2.9% · D below 1%"</t>
  </si>
  <si>
    <t xml:space="preserve">BR-04</t>
  </si>
  <si>
    <t xml:space="preserve">TC-131</t>
  </si>
  <si>
    <t xml:space="preserve">RC-27</t>
  </si>
  <si>
    <t xml:space="preserve">RC-27.1</t>
  </si>
  <si>
    <t xml:space="preserve">Formula is shown</t>
  </si>
  <si>
    <t xml:space="preserve">This text is shown: "Engagement rate = (likes + comments + shares + saves) ÷ views"</t>
  </si>
  <si>
    <t xml:space="preserve">BR-01, BR-02</t>
  </si>
  <si>
    <t xml:space="preserve">TC-132</t>
  </si>
  <si>
    <t xml:space="preserve">RC-23</t>
  </si>
  <si>
    <t xml:space="preserve">RC-23.1</t>
  </si>
  <si>
    <t xml:space="preserve">No "Save as PDF" button in this release</t>
  </si>
  <si>
    <t xml:space="preserve">1) Look over the whole page, including after scrolling to the bottom.</t>
  </si>
  <si>
    <t xml:space="preserve">There is no "Save as PDF" button</t>
  </si>
  <si>
    <t xml:space="preserve">TC-133</t>
  </si>
  <si>
    <t xml:space="preserve">RC-24</t>
  </si>
  <si>
    <t xml:space="preserve">RC-24.1</t>
  </si>
  <si>
    <t xml:space="preserve">"Start again" clears the report</t>
  </si>
  <si>
    <t xml:space="preserve">1) Click "Start again". 2) Look at the page.</t>
  </si>
  <si>
    <t xml:space="preserve">No report card is shown; the upload area with "Choose CSV file" is shown; "bakery sept FINAL 2.csv" is not shown</t>
  </si>
  <si>
    <t xml:space="preserve">TC-134</t>
  </si>
  <si>
    <t xml:space="preserve">Next file after "Start again" shows only its own report</t>
  </si>
  <si>
    <t xml:space="preserve">bakery sept FINAL 2.csv; ep1-replace.csv</t>
  </si>
  <si>
    <t xml:space="preserve">1) Click "Start again". 2) Click "Choose CSV file" and pick ep1-replace.csv. 3) Look at the whole report card.</t>
  </si>
  <si>
    <t xml:space="preserve">Header shows "ep1-replace.csv"; Overall: 5.0%, B; nothing from the sample file's report appears</t>
  </si>
  <si>
    <t xml:space="preserve">TC-135</t>
  </si>
  <si>
    <t xml:space="preserve">RC-24.2</t>
  </si>
  <si>
    <t xml:space="preserve">Refreshing the page clears the report</t>
  </si>
  <si>
    <t xml:space="preserve">1) Refresh the page. 2) Look at the page.</t>
  </si>
  <si>
    <t xml:space="preserve">No report card is shown; "bakery sept FINAL 2.csv" is not shown anywhere</t>
  </si>
  <si>
    <t xml:space="preserve">TC-136</t>
  </si>
  <si>
    <t xml:space="preserve">RC-25</t>
  </si>
  <si>
    <t xml:space="preserve">RC-25.1</t>
  </si>
  <si>
    <t xml:space="preserve">Typed client name appears in the header</t>
  </si>
  <si>
    <t xml:space="preserve">1) Type "Bakery" in "Client name". 2) Look at the header.</t>
  </si>
  <si>
    <t xml:space="preserve">"Bakery" appears in the header</t>
  </si>
  <si>
    <t xml:space="preserve">TC-137</t>
  </si>
  <si>
    <t xml:space="preserve">RC-25.2</t>
  </si>
  <si>
    <t xml:space="preserve">Client name is cleared on refresh</t>
  </si>
  <si>
    <t xml:space="preserve">1) Type "Bakery" in "Client name". 2) Refresh the page. 3) Look at the "Client name" box.</t>
  </si>
  <si>
    <t xml:space="preserve">The "Client name" box is empty</t>
  </si>
  <si>
    <t xml:space="preserve">TC-138</t>
  </si>
  <si>
    <t xml:space="preserve">RC-26</t>
  </si>
  <si>
    <t xml:space="preserve">RC-26.1</t>
  </si>
  <si>
    <t xml:space="preserve">No earlier report is kept in this release</t>
  </si>
  <si>
    <t xml:space="preserve">1) Refresh the page. 2) Look over the whole page for any earlier report or report history.</t>
  </si>
  <si>
    <t xml:space="preserve">No report is shown and no earlier report can be opened from anywhere on the page</t>
  </si>
  <si>
    <t xml:space="preserve">AC ID</t>
  </si>
  <si>
    <t xml:space="preserve">Story title</t>
  </si>
  <si>
    <t xml:space="preserve">Then (from requirements)</t>
  </si>
  <si>
    <t xml:space="preserve">TC IDs</t>
  </si>
  <si>
    <t xml:space="preserve">No. of TCs</t>
  </si>
  <si>
    <t xml:space="preserve">Coverage</t>
  </si>
  <si>
    <t xml:space="preserve">Open questions</t>
  </si>
  <si>
    <t xml:space="preserve">Upload a CSV</t>
  </si>
  <si>
    <t xml:space="preserve">Then the report card for September 2026 is shown</t>
  </si>
  <si>
    <t xml:space="preserve">TC-001, TC-002</t>
  </si>
  <si>
    <t xml:space="preserve">Q-02, Q-07</t>
  </si>
  <si>
    <t xml:space="preserve">Then the same report card as in RC-01.1 is shown</t>
  </si>
  <si>
    <t xml:space="preserve">Q-02, Q-07, Q-09</t>
  </si>
  <si>
    <t xml:space="preserve">Then the first report is fully replaced by the new one</t>
  </si>
  <si>
    <t xml:space="preserve">Q-31</t>
  </si>
  <si>
    <t xml:space="preserve">Reject a file Reach can't use</t>
  </si>
  <si>
    <t xml:space="preserve">Then "Reach can read CSV files only. In Excel, choose File &gt; Save As, pick "CSV UTF-8", then upload that file." is shown and no report is shown</t>
  </si>
  <si>
    <t xml:space="preserve">TC-006, TC-007</t>
  </si>
  <si>
    <t xml:space="preserve">Q-39</t>
  </si>
  <si>
    <t xml:space="preserve">Then "This file is missing the column(s): Saves. The first row must have Date, Platform, Caption, Views, Likes, Comments, Shares and Saves." is shown and no report is shown</t>
  </si>
  <si>
    <t xml:space="preserve">TC-008, TC-009</t>
  </si>
  <si>
    <t xml:space="preserve">Then the Views column is read with no error</t>
  </si>
  <si>
    <t xml:space="preserve">TC-010, TC-011</t>
  </si>
  <si>
    <t xml:space="preserve">Then the report matches the sample file's report</t>
  </si>
  <si>
    <t xml:space="preserve">Q-02</t>
  </si>
  <si>
    <t xml:space="preserve">Then the Link column is ignored and no message is shown</t>
  </si>
  <si>
    <t xml:space="preserve">Then "This file has no posts in it." is shown</t>
  </si>
  <si>
    <t xml:space="preserve">TC-014, TC-015</t>
  </si>
  <si>
    <t xml:space="preserve">Then "This file is over 5 MB. Upload one client's month at a time." is shown and no report is shown</t>
  </si>
  <si>
    <t xml:space="preserve">TC-016, TC-017</t>
  </si>
  <si>
    <t xml:space="preserve">Q-14</t>
  </si>
  <si>
    <t xml:space="preserve">Then "This file has more than 10,000 rows. Upload one client's month at a time." is shown and no report is shown</t>
  </si>
  <si>
    <t xml:space="preserve">Then the file is accepted and the report is shown</t>
  </si>
  <si>
    <t xml:space="preserve">Upload an Excel file</t>
  </si>
  <si>
    <t xml:space="preserve">Then Reach behaves as in RC-02.1</t>
  </si>
  <si>
    <t xml:space="preserve">See which rows weren't graded and why</t>
  </si>
  <si>
    <t xml:space="preserve">Then grades are shown for the 14 graded posts even though other rows have problems</t>
  </si>
  <si>
    <t xml:space="preserve">TC-021, TC-022</t>
  </si>
  <si>
    <t xml:space="preserve">Then the "Rows to fix" list shows exactly these 7 lines, in this order:
Row 8: Views must be a full number, like 12400 or 12,400. "12.4K" is not accepted.
Row 9: "Facebook" is not supported. Use Instagram or YouTube.
Row 15: 14-09-2062 is in the future.
Row 19: Likes is empty. Enter 0 if there were none.
Row 20: The year must have 4 digits, for example 21-09-2026.
Row 22: Views must be a full number, like 12400 or 12,400. "1.2L" is not accepted.
Row 24: 31-09-2026 is not a real date.</t>
  </si>
  <si>
    <t xml:space="preserve">Then two lines are shown for that row, one per problem, both with the same row number</t>
  </si>
  <si>
    <t xml:space="preserve">TC-024, TC-025</t>
  </si>
  <si>
    <t xml:space="preserve">Q-20, Q-29</t>
  </si>
  <si>
    <t xml:space="preserve">Then no grades are shown and "No rows could be graded. Fix the rows listed below and upload again." is shown above the list</t>
  </si>
  <si>
    <t xml:space="preserve">Q-25</t>
  </si>
  <si>
    <t xml:space="preserve">Then no "Rows to fix" section is shown</t>
  </si>
  <si>
    <t xml:space="preserve">Q-30</t>
  </si>
  <si>
    <t xml:space="preserve">Then the "Rows to fix", "Skipped" and "Too new to grade" lists appear below the bottom 3 posts</t>
  </si>
  <si>
    <t xml:space="preserve">Q-21, Q-30</t>
  </si>
  <si>
    <t xml:space="preserve">Read the date formats Excel produces</t>
  </si>
  <si>
    <t xml:space="preserve">Then the post is dated 03-09-2026 (3 September, not 9 March)</t>
  </si>
  <si>
    <t xml:space="preserve">Q-12, Q-41</t>
  </si>
  <si>
    <t xml:space="preserve">Then the post is dated 06-09-2026</t>
  </si>
  <si>
    <t xml:space="preserve">Then the row is listed as "Row 20: The year must have 4 digits, for example 21-09-2026." and is not graded</t>
  </si>
  <si>
    <t xml:space="preserve">TC-031, TC-032</t>
  </si>
  <si>
    <t xml:space="preserve">Then the row is listed as "Row 24: 31-09-2026 is not a real date."</t>
  </si>
  <si>
    <t xml:space="preserve">TC-033, TC-034</t>
  </si>
  <si>
    <t xml:space="preserve">Then that row is listed as "Row {n}: 30-08-2026 is not in September 2026. Upload one month per file."</t>
  </si>
  <si>
    <t xml:space="preserve">TC-035, TC-036, TC-037</t>
  </si>
  <si>
    <t xml:space="preserve">Then the post is dated 03-09-2026</t>
  </si>
  <si>
    <t xml:space="preserve">Q-32</t>
  </si>
  <si>
    <t xml:space="preserve">Then the row is listed as "Row {n}: "03-09/2026" is not a date Reach can read. Write it as DD-MM-YYYY, for example 21-09-2026."</t>
  </si>
  <si>
    <t xml:space="preserve">Accept short platform names</t>
  </si>
  <si>
    <t xml:space="preserve">Then both are counted as Instagram</t>
  </si>
  <si>
    <t xml:space="preserve">Then it is counted as YouTube</t>
  </si>
  <si>
    <t xml:space="preserve">Then it is counted as Instagram</t>
  </si>
  <si>
    <t xml:space="preserve">TC-043, TC-044, TC-045</t>
  </si>
  <si>
    <t xml:space="preserve">Read numbers with commas, NA and "-"</t>
  </si>
  <si>
    <t xml:space="preserve">Then Views is read as 1,25,000</t>
  </si>
  <si>
    <t xml:space="preserve">Q-03, Q-10</t>
  </si>
  <si>
    <t xml:space="preserve">Then Views is read as 12,400</t>
  </si>
  <si>
    <t xml:space="preserve">TC-047, TC-048, TC-049</t>
  </si>
  <si>
    <t xml:space="preserve">Then Saves counts as 0 and no message is shown</t>
  </si>
  <si>
    <t xml:space="preserve">Then "Row {n}: Likes must be a full number, like 12400 or 12,400. "-5" is not accepted." is shown</t>
  </si>
  <si>
    <t xml:space="preserve">TC-052, TC-053, TC-054, TC-055, TC-056, TC-057</t>
  </si>
  <si>
    <t xml:space="preserve">Then "Row {n}: Views must be a full number, like 12400 or 12,400. "12.5" is not accepted." is shown</t>
  </si>
  <si>
    <t xml:space="preserve">TC-058, TC-059</t>
  </si>
  <si>
    <t xml:space="preserve">Then Shares counts as 0 and the post is graded at 1.4% (25 ÷ 1,840), grade C</t>
  </si>
  <si>
    <t xml:space="preserve">Then Shares counts as 0 and no message is shown</t>
  </si>
  <si>
    <t xml:space="preserve">Ignore blank rows</t>
  </si>
  <si>
    <t xml:space="preserve">Then none of them appears in any list or count</t>
  </si>
  <si>
    <t xml:space="preserve">Then the rows after it keep their Excel row numbers (the "12.4K" row is still reported as Row 8)</t>
  </si>
  <si>
    <t xml:space="preserve">TC-063, TC-064</t>
  </si>
  <si>
    <t xml:space="preserve">Count a duplicated post once</t>
  </si>
  <si>
    <t xml:space="preserve">Then row 12 is graded and the "Skipped" list shows "Row 13: Same as row 12. Counted once."</t>
  </si>
  <si>
    <t xml:space="preserve">TC-065, TC-066, TC-067</t>
  </si>
  <si>
    <t xml:space="preserve">Q-04</t>
  </si>
  <si>
    <t xml:space="preserve">Then both rows are graded as separate posts and no message is shown</t>
  </si>
  <si>
    <t xml:space="preserve">Hold back posts with 0 views</t>
  </si>
  <si>
    <t xml:space="preserve">Then the "Too new to grade" list shows "Row 25: 0 views. Not graded yet."</t>
  </si>
  <si>
    <t xml:space="preserve">Then row 25 is not in any total and not in the top 3 or bottom 3</t>
  </si>
  <si>
    <t xml:space="preserve">Accept short forms such as 12K and 1.2L</t>
  </si>
  <si>
    <t xml:space="preserve">Then the row is listed as in RC-04.2 (rows 8 and 22)</t>
  </si>
  <si>
    <t xml:space="preserve">Work out each post's engagement rate</t>
  </si>
  <si>
    <t xml:space="preserve">Then interactions are 745 (610 + 38 + 45 + 52) and the rate is 6.0% (745 ÷ 12,400)</t>
  </si>
  <si>
    <t xml:space="preserve">TC-072, TC-073, TC-074, TC-075, TC-076</t>
  </si>
  <si>
    <t xml:space="preserve">Q-05, Q-06, Q-12, Q-31, Q-32</t>
  </si>
  <si>
    <t xml:space="preserve">Then interactions are 111 (96 + 11 + 4 + 0) and the rate is 3.5%</t>
  </si>
  <si>
    <t xml:space="preserve">TC-077, TC-078</t>
  </si>
  <si>
    <t xml:space="preserve">Then the rate is shown as 9.7%</t>
  </si>
  <si>
    <t xml:space="preserve">Q-05, Q-12, Q-32</t>
  </si>
  <si>
    <t xml:space="preserve">Grade the whole month</t>
  </si>
  <si>
    <t xml:space="preserve">Then the overall month rate is 10.5% (23,797 ÷ 2,26,640 = 10.4999%, rounded half up) and the grade is A+</t>
  </si>
  <si>
    <t xml:space="preserve">TC-080, TC-081, TC-082</t>
  </si>
  <si>
    <t xml:space="preserve">Then rows 8, 9, 13, 15, 19, 20, 22, 24 and 25 are not included in the overall totals</t>
  </si>
  <si>
    <t xml:space="preserve">TC-083, TC-084, TC-085</t>
  </si>
  <si>
    <t xml:space="preserve">Q-02, Q-31</t>
  </si>
  <si>
    <t xml:space="preserve">Grade each platform</t>
  </si>
  <si>
    <t xml:space="preserve">Then Instagram shows 11.1% (23,370 ÷ 2,10,100) and A+</t>
  </si>
  <si>
    <t xml:space="preserve">Then YouTube shows 2.6% (427 ÷ 16,540) and C</t>
  </si>
  <si>
    <t xml:space="preserve">Then the YouTube section shows "No graded YouTube posts this month" and no grade</t>
  </si>
  <si>
    <t xml:space="preserve">TC-088, TC-089, TC-090</t>
  </si>
  <si>
    <t xml:space="preserve">Then YouTube shows 3.5% and B</t>
  </si>
  <si>
    <t xml:space="preserve">Apply grade boundaries exactly</t>
  </si>
  <si>
    <t xml:space="preserve">Then the grade is A+</t>
  </si>
  <si>
    <t xml:space="preserve">TC-092, TC-093</t>
  </si>
  <si>
    <t xml:space="preserve">Then the grade is A</t>
  </si>
  <si>
    <t xml:space="preserve">TC-094, TC-095</t>
  </si>
  <si>
    <t xml:space="preserve">TC-096, TC-097</t>
  </si>
  <si>
    <t xml:space="preserve">Then the grade is B</t>
  </si>
  <si>
    <t xml:space="preserve">TC-099, TC-100</t>
  </si>
  <si>
    <t xml:space="preserve">Then the grade is C</t>
  </si>
  <si>
    <t xml:space="preserve">TC-102, TC-103</t>
  </si>
  <si>
    <t xml:space="preserve">Then the grade is D</t>
  </si>
  <si>
    <t xml:space="preserve">Then it is shown as 3.0% with grade B</t>
  </si>
  <si>
    <t xml:space="preserve">Grade each post</t>
  </si>
  <si>
    <t xml:space="preserve">Then the post shows 0.8% and D</t>
  </si>
  <si>
    <t xml:space="preserve">TC-106, TC-107</t>
  </si>
  <si>
    <t xml:space="preserve">Q-22, Q-32</t>
  </si>
  <si>
    <t xml:space="preserve">Show which file and month the report covers</t>
  </si>
  <si>
    <t xml:space="preserve">Then the header shows "September 2026" and "bakery sept FINAL 2.csv"</t>
  </si>
  <si>
    <t xml:space="preserve">TC-108, TC-109, TC-110, TC-111</t>
  </si>
  <si>
    <t xml:space="preserve">Q-18</t>
  </si>
  <si>
    <t xml:space="preserve">Then the header shows "14 posts graded · 9 rows not graded" (7 to fix, 1 skipped, 1 too new)</t>
  </si>
  <si>
    <t xml:space="preserve">Show month grades at the top</t>
  </si>
  <si>
    <t xml:space="preserve">Then the grades appear in this order: Overall, Instagram, YouTube</t>
  </si>
  <si>
    <t xml:space="preserve">Then the Instagram section shows A+, 11.1%, 2,10,100 views, 23,370 interactions and 8 posts</t>
  </si>
  <si>
    <t xml:space="preserve">Then the overall grade is visible without scrolling</t>
  </si>
  <si>
    <t xml:space="preserve">Q-09</t>
  </si>
  <si>
    <t xml:space="preserve">Show the top 3 posts</t>
  </si>
  <si>
    <t xml:space="preserve">Then the top 3 are, in order:
1. Row 18, Giveaway, 55.9%, A+
2. Row 6, Teachers' Day cupcakes, 12.2%, A+
3. Row 10, the Hindi caption about the new branch, 9.7%, A</t>
  </si>
  <si>
    <t xml:space="preserve">Q-10</t>
  </si>
  <si>
    <t xml:space="preserve">Then row 10 (9.71%) is ranked above row 4 (9.69%), even though both show 9.7%</t>
  </si>
  <si>
    <t xml:space="preserve">Then it shows date, platform, caption, views, interactions, rate and grade</t>
  </si>
  <si>
    <t xml:space="preserve">Q-03</t>
  </si>
  <si>
    <t xml:space="preserve">Then the post with more views ranks higher</t>
  </si>
  <si>
    <t xml:space="preserve">TC-119, TC-120, TC-121</t>
  </si>
  <si>
    <t xml:space="preserve">Then the word "Giveaway" from Notes does not appear</t>
  </si>
  <si>
    <t xml:space="preserve">TC-122, TC-123, TC-124</t>
  </si>
  <si>
    <t xml:space="preserve">Q-01, Q-31</t>
  </si>
  <si>
    <t xml:space="preserve">Show the bottom 3 posts</t>
  </si>
  <si>
    <t xml:space="preserve">Then the bottom 3, worst first, are:
1. Row 17, 0.8%, D
2. Row 11, 1.4%, C
3. Row 23, 2.2%, C</t>
  </si>
  <si>
    <t xml:space="preserve">Q-11</t>
  </si>
  <si>
    <t xml:space="preserve">Then row 16 (2.7%) is not in the bottom 3</t>
  </si>
  <si>
    <t xml:space="preserve">Then one list titled "All posts, best to worst" is shown in place of the top 3 and bottom 3</t>
  </si>
  <si>
    <t xml:space="preserve">TC-127, TC-128</t>
  </si>
  <si>
    <t xml:space="preserve">Show every graded post</t>
  </si>
  <si>
    <t xml:space="preserve">Then 14 posts are listed by date, earliest first, each with rate and grade</t>
  </si>
  <si>
    <t xml:space="preserve">Q-12, Q-22, Q-32</t>
  </si>
  <si>
    <t xml:space="preserve">Explain the grades</t>
  </si>
  <si>
    <t xml:space="preserve">Then this text is shown: "A+ 10% and above · A 6% to 9.9% · B 3% to 5.9% · C 1% to 2.9% · D below 1%"</t>
  </si>
  <si>
    <t xml:space="preserve">Q-43</t>
  </si>
  <si>
    <t xml:space="preserve">Show the report card's formula</t>
  </si>
  <si>
    <t xml:space="preserve">Then this text is shown: "Engagement rate = (likes + comments + shares + saves) ÷ views"</t>
  </si>
  <si>
    <t xml:space="preserve">Save the report as a PDF</t>
  </si>
  <si>
    <t xml:space="preserve">Then there is no "Save as PDF" button</t>
  </si>
  <si>
    <t xml:space="preserve">Start again</t>
  </si>
  <si>
    <t xml:space="preserve">Then the report is cleared and the upload area is shown</t>
  </si>
  <si>
    <t xml:space="preserve">TC-133, TC-134</t>
  </si>
  <si>
    <t xml:space="preserve">Q-31, Q-42</t>
  </si>
  <si>
    <t xml:space="preserve">Then no report and no file name are shown</t>
  </si>
  <si>
    <t xml:space="preserve">Q-35</t>
  </si>
  <si>
    <t xml:space="preserve">Add a client name</t>
  </si>
  <si>
    <t xml:space="preserve">Then "Bakery" appears in the header</t>
  </si>
  <si>
    <t xml:space="preserve">Then the Client name box is empty</t>
  </si>
  <si>
    <t xml:space="preserve">Keep past reports and compare months</t>
  </si>
  <si>
    <t xml:space="preserve">Then no earlier report is available</t>
  </si>
  <si>
    <t xml:space="preserve">ACs in the requirements</t>
  </si>
  <si>
    <t xml:space="preserve">ACs with at least 1 test case</t>
  </si>
  <si>
    <t xml:space="preserve">ACs with no test case</t>
  </si>
  <si>
    <t xml:space="preserve">Test cases</t>
  </si>
  <si>
    <t xml:space="preserve">File name</t>
  </si>
  <si>
    <t xml:space="preserve">Exactly what's in it</t>
  </si>
  <si>
    <t xml:space="preserve">How to make it</t>
  </si>
  <si>
    <t xml:space="preserve">Used by (TC IDs)</t>
  </si>
  <si>
    <t xml:space="preserve">Date,Platform,Caption, Views,Likes,Comments,Shares,Saves,Notes
01-09-2026,Instagram,"Fresh rusk, straight out of the oven 🍞","12,400",610,38,45,52,
02-09-2026,YouTube,How we make our eggless chocolate cake,3150,96,11,4,NA,
03/09/2026,insta,Weekend special: kaju katli box,18900,1240,96,310,185,Boosted ₹500
,,,,,,,,
05-09-2026,IG,"Teachers' Day cupcakes, free for every teacher who walks in 🧁","1,25,000","10,400",720,"2,450","1,630",
2026-09-06,YouTube,Bakery tour in 60 seconds,5200,140,9,6,NA,
07-09-2026,Instagram,Our chef's secret: brown butter cookies,12.4K,530,21,60,88,
08-09-2026,Facebook,"Same cookie reel, posted on FB",2300,45,2,3,,Test
09-09-2026,Instagram,नई ब्रांच खुल गई! आप सबका शुक्रिया 🎉,"21,700","1,560",212,240,96,Collab with a food blogger
10-09-2026,YT,Customer reviews our new pav,1840,22,3,-,NA,
11-09-2026,Instagram,Rainy day + chai + our rusk ☔,9600,310,14,33,41,
11-09-2026,Instagram,Rainy day + chai + our rusk ☔,9600,310,14,33,41,
13-09-2026,YouTube,Behind the scenes: 4 AM at the bakery,2480,58,7,2,NA,
14-09-2062,Instagram,Monsoon combo: chai + 2 rusk packs,6100,190,9,14,22,
16-09-2026,Instagram,Staff picks: our top 5 breads,6900,150,6,11,17,
17-09-2026,YouTube,Full recipe: bakery-style bun maska,1120,8,1,0,NA,
18-09-2026,Instagram,Giveaway! Tag a friend who loves cake 🎂,4300,520,1840,30,12,Giveaway
20-09-2026,Instagram,Kids' birthday cake ideas,8200,,15,20,64,
21/9/26,YouTube,Q&amp;A: eggless baking tips,980,31,6,1,NA,
22-09-2026,Instagram,Brunch at the bakery: new menu,"11,300",420,19,28,35,
24-09-2026,Instagram,Sold out in 2 hours: cinnamon rolls,1.2L,6900,380,1150,980,Our best one!!
25-09-2026,YouTube,Why our bread has no preservatives,2750,49,8,3,NA,
31-09-2026,Instagram,Weekend brunch menu,7800,240,12,18,30,
26-09-2026,Instagram,Sneak peek: festive cookie hampers,0,0,0,0,0,Posted today
,,,,,,,,
,,,,,,,,</t>
  </si>
  <si>
    <t xml:space="preserve">Supplied by the BA with the v1 requirements. Use it exactly as supplied; don't open and re-save it in Excel. It starts with a UTF-8 byte order mark and has 27 lines (rows 5, 26 and 27 are blank).</t>
  </si>
  <si>
    <t xml:space="preserve">TC-001, TC-002, TC-003, TC-004, TC-010, TC-021, TC-023, TC-028, TC-029, TC-030, TC-031, TC-033, TC-041, TC-042, TC-046, TC-047, TC-050, TC-060, TC-062, TC-063, TC-065, TC-069, TC-070, TC-071, TC-072, TC-077, TC-079, TC-080, TC-083, TC-086, TC-087, TC-105, TC-106, TC-108, TC-112, TC-113, TC-114, TC-115, TC-116, TC-117, TC-118, TC-122, TC-123, TC-125, TC-126, TC-129, TC-130, TC-131, TC-132, TC-133, TC-134, TC-135, TC-136, TC-137, TC-138</t>
  </si>
  <si>
    <t xml:space="preserve">Date,Platform,Caption,Views,Likes,Comments,Shares,Saves
10-09-2026,Instagram,Replacement post,1000,50,0,0,0</t>
  </si>
  <si>
    <t xml:space="preserve">Save as CSV UTF-8. Line 1 is the header; each following line is one row (row 2 onwards).</t>
  </si>
  <si>
    <t xml:space="preserve">TC-005, TC-134</t>
  </si>
  <si>
    <t xml:space="preserve">The sample file's rows and columns, as an Excel workbook.</t>
  </si>
  <si>
    <t xml:space="preserve">Open bakery sept FINAL 2.csv in Excel, choose File &gt; Save As, pick "Excel Workbook (.xlsx)", name it ep1-sample.xlsx.</t>
  </si>
  <si>
    <t xml:space="preserve">TC-006, TC-020</t>
  </si>
  <si>
    <t xml:space="preserve">Byte-for-byte copy of bakery sept FINAL 2.csv.</t>
  </si>
  <si>
    <t xml:space="preserve">Copy bakery sept FINAL 2.csv and rename the copy to ep1-sample.txt.</t>
  </si>
  <si>
    <t xml:space="preserve">Date,Platform,Caption,Views,Likes,Comments,Shares
10-09-2026,Instagram,Valid post,1000,50,0,0</t>
  </si>
  <si>
    <t xml:space="preserve">Platform,Caption,Views,Likes,Comments,Shares,Saves
Instagram,Valid post,1000,50,0,0,0</t>
  </si>
  <si>
    <t xml:space="preserve">DATE,platform,CAPTION,views,LIKES,comments,SHARES,saves
10-09-2026,Instagram,Valid post,1000,50,0,0,0</t>
  </si>
  <si>
    <t xml:space="preserve">Notes,Saves,Shares,Comments,Likes, Views,Caption,Platform,Date
,52,45,38,610,"12,400","Fresh rusk, straight out of the oven 🍞",Instagram,01-09-2026
,NA,4,11,96,3150,How we make our eggless chocolate cake,YouTube,02-09-2026
Boosted ₹500,185,310,96,1240,18900,Weekend special: kaju katli box,insta,03/09/2026
,,,,,,,,
,"1,630","2,450",720,"10,400","1,25,000","Teachers' Day cupcakes, free for every teacher who walks in 🧁",IG,05-09-2026
,NA,6,9,140,5200,Bakery tour in 60 seconds,YouTube,2026-09-06
,88,60,21,530,12.4K,Our chef's secret: brown butter cookies,Instagram,07-09-2026
Test,,3,2,45,2300,"Same cookie reel, posted on FB",Facebook,08-09-2026
Collab with a food blogger,96,240,212,"1,560","21,700",नई ब्रांच खुल गई! आप सबका शुक्रिया 🎉,Instagram,09-09-2026
,NA,-,3,22,1840,Customer reviews our new pav,YT,10-09-2026
,41,33,14,310,9600,Rainy day + chai + our rusk ☔,Instagram,11-09-2026
,41,33,14,310,9600,Rainy day + chai + our rusk ☔,Instagram,11-09-2026
,NA,2,7,58,2480,Behind the scenes: 4 AM at the bakery,YouTube,13-09-2026
,22,14,9,190,6100,Monsoon combo: chai + 2 rusk packs,Instagram,14-09-2062
,17,11,6,150,6900,Staff picks: our top 5 breads,Instagram,16-09-2026
,NA,0,1,8,1120,Full recipe: bakery-style bun maska,YouTube,17-09-2026
Giveaway,12,30,1840,520,4300,Giveaway! Tag a friend who loves cake 🎂,Instagram,18-09-2026
,64,20,15,,8200,Kids' birthday cake ideas,Instagram,20-09-2026
,NA,1,6,31,980,Q&amp;A: eggless baking tips,YouTube,21/9/26
,35,28,19,420,"11,300",Brunch at the bakery: new menu,Instagram,22-09-2026
Our best one!!,980,1150,380,6900,1.2L,Sold out in 2 hours: cinnamon rolls,Instagram,24-09-2026
,NA,3,8,49,2750,Why our bread has no preservatives,YouTube,25-09-2026
,30,18,12,240,7800,Weekend brunch menu,Instagram,31-09-2026
Posted today,0,0,0,0,0,Sneak peek: festive cookie hampers,Instagram,26-09-2026
,,,,,,,,
,,,,,,,,</t>
  </si>
  <si>
    <t xml:space="preserve">Save as CSV UTF-8. Line 1 is the header; each following line is one row (row 2 onwards). Same rows as the sample file with the columns in the order Notes, Saves, Shares, Comments, Likes, Views, Caption, Platform, Date. Blank rows 5, 26 and 27 are kept.</t>
  </si>
  <si>
    <t xml:space="preserve">Date,Platform,Caption,Views,Likes,Comments,Shares,Saves,Link
10-09-2026,Instagram,Valid post,1000,50,0,0,0,post-link-1</t>
  </si>
  <si>
    <t xml:space="preserve">Date,Platform,Caption,Views,Likes,Comments,Shares,Saves</t>
  </si>
  <si>
    <t xml:space="preserve">Save as CSV UTF-8. Line 1 is the header; each following line is one row (row 2 onwards). The file has only this one line.</t>
  </si>
  <si>
    <t xml:space="preserve">Date,Platform,Caption,Views,Likes,Comments,Shares,Saves
,,,,,,,
,,,,,,,
,,,,,,,</t>
  </si>
  <si>
    <t xml:space="preserve">Line 1: Date,Platform,Caption,Views,Likes,Comments,Shares,Saves
Then 5,000 rows, numbered NNNNN = 00001 to 05000:
10-09-2026,Instagram,Post NNNNN &lt;1,200 letters 'a'&gt;,1000,50,0,0,0
File size: 62,35,056 bytes (over 5 MB however it is counted).</t>
  </si>
  <si>
    <t xml:space="preserve">Generate with a script and save as CSV UTF-8. Captions must all differ, so no row is a duplicate.</t>
  </si>
  <si>
    <t xml:space="preserve">Line 1: Date,Platform,Caption,Views,Likes,Comments,Shares,Saves
Then 3,800 rows, numbered NNNNN = 00001 to 03800:
10-09-2026,Instagram,Post NNNNN &lt;1,200 letters 'a'&gt;,1000,50,0,0,0
File size: 47,38,656 bytes (under 5 MB however it is counted).</t>
  </si>
  <si>
    <t xml:space="preserve">Line 1: Date,Platform,Caption,Views,Likes,Comments,Shares,Saves
Then 10,001 rows, numbered NNNNN = 00001 to 10001:
10-09-2026,Instagram,Post NNNNN,1000,50,0,0,0</t>
  </si>
  <si>
    <t xml:space="preserve">Line 1: Date,Platform,Caption,Views,Likes,Comments,Shares,Saves
Then rows Post 00001 to Post 05000, then 50 blank lines (,,,,,,,), then rows Post 05001 to Post 10000, each:
10-09-2026,Instagram,Post NNNNN,1000,50,0,0,0
10,000 non-blank rows and 50 blank rows after the header.</t>
  </si>
  <si>
    <t xml:space="preserve">Date,Platform,Caption,Views,Likes,Comments,Shares,Saves
10-09-2026,Instagram,Valid post,1000,50,0,0,0
11-09-2026,Instagram,Two problems,abc,,0,0,0</t>
  </si>
  <si>
    <t xml:space="preserve">Date,Platform,Caption,Views,Likes,Comments,Shares,Saves
10-09-2026,Instagram,Valid post,1000,50,0,0,0
11-09-2026,Twitter,Other platform,abc,,0,0,0</t>
  </si>
  <si>
    <t xml:space="preserve">Date,Platform,Caption,Views,Likes,Comments,Shares,Saves
10-09-2026,Instagram,Bad views,abc,50,0,0,0
11-09-2026,Facebook,Other platform,1000,50,0,0,0</t>
  </si>
  <si>
    <t xml:space="preserve">Date,Platform,Caption,Views,Likes,Comments,Shares,Saves
10-09-2026,Instagram,Post one,1000,50,0,0,0
11-09-2026,YouTube,Post two,1000,30,0,0,NA</t>
  </si>
  <si>
    <t xml:space="preserve">Date,Platform,Caption,Views,Likes,Comments,Shares,Saves
10-09-2026,Instagram,Valid post,1000,50,0,0,0
11-09-2026,Instagram,,1000,50,0,0,0
12-09-2026,,No platform,1000,50,0,0,0</t>
  </si>
  <si>
    <t xml:space="preserve">TC-022, TC-045</t>
  </si>
  <si>
    <t xml:space="preserve">Date,Platform,Caption,Views,Likes,Comments,Shares,Saves
10-09-2026,Instagram,Anchor one,1000,50,0,0,0
12-09-2026,Instagram,Anchor two,1000,50,0,0,0
03-09/2026,Instagram,Mixed separators,1000,50,0,0,0
29-02-2026,Instagram,Not a real date,1000,50,0,0,0
,Instagram,No date,1000,50,0,0,0
30-08-2026,Instagram,August post,1000,50,0,0,0
28-09-2026,Instagram,Upload day post,1000,60,0,0,0
29-09-2026,Instagram,Tomorrow post,1000,70,0,0,0
3-9-2026,Instagram,Short dash date,1000,50,0,0,0
3/9/2026,Instagram,Short slash date,1000,50,0,0,0</t>
  </si>
  <si>
    <t xml:space="preserve">Save as CSV UTF-8. Line 1 is the header; each following line is one row (row 2 onwards). Needs the device date to be 28-09-2026.</t>
  </si>
  <si>
    <t xml:space="preserve">TC-032, TC-034, TC-035, TC-036, TC-037, TC-038, TC-039, TC-040</t>
  </si>
  <si>
    <t xml:space="preserve">Date,Platform,Caption,Views,Likes,Comments,Shares,Saves
10-09-2026,INSTAGRAM,Caps platform,1000,50,0,0,0</t>
  </si>
  <si>
    <t xml:space="preserve">Date,Platform,Caption,Views,Likes,Comments,Shares,Saves
10-09-2026, yt ,Spaced platform,1000,50,0,0,NA</t>
  </si>
  <si>
    <t xml:space="preserve">Save as CSV UTF-8. Line 1 is the header; each following line is one row (row 2 onwards). The Platform cell is " yt " with one space before and after.</t>
  </si>
  <si>
    <t xml:space="preserve">Date,Platform,Caption,Views,Likes,Comments,Shares,Saves
10-09-2026,Instagram,Saves NA,1000,40,10,0,NA</t>
  </si>
  <si>
    <t xml:space="preserve">Date,Platform,Caption,Views,Likes,Comments,Shares,Saves
10-09-2026,Instagram,Shares blank,1000,40,10,,0</t>
  </si>
  <si>
    <t xml:space="preserve">Date,Platform,Caption,Views,Likes,Comments,Shares,Saves
10-09-2026,Instagram,Western commas,"1,000,000","50,000",0,0,0</t>
  </si>
  <si>
    <t xml:space="preserve">Date,Platform,Caption,Views,Likes,Comments,Shares,Saves
10-09-2026,Instagram,Spaced numbers, 1000 , 50 ,0,0,0</t>
  </si>
  <si>
    <t xml:space="preserve">Save as CSV UTF-8. Line 1 is the header; each following line is one row (row 2 onwards). Views is " 1000 " and Likes is " 50 ", with one space before and after.</t>
  </si>
  <si>
    <t xml:space="preserve">Date,Platform,Caption,Views,Likes,Comments,Shares,Saves
10-09-2026,Instagram,Valid post,1000,50,0,0,0
11-09-2026,Instagram,Negative likes,1000,-5,0,0,0
11-09-2026,Instagram,Decimal views,12.5,5,0,0,0
11-09-2026,Instagram,No views,,50,0,0,0
11-09-2026,Instagram,No comments,1000,50,,0,0
11-09-2026,Instagram,Views NA,NA,50,0,0,0
11-09-2026,Instagram,Comments dash,1000,50,-,0,0
11-09-2026,Instagram,Shares text,1000,50,0,abc,0
11-09-2026,Instagram,Negative saves,1000,50,0,0,-3</t>
  </si>
  <si>
    <t xml:space="preserve">TC-052, TC-053, TC-054, TC-055, TC-056, TC-057, TC-058, TC-059</t>
  </si>
  <si>
    <t xml:space="preserve">Date,Platform,Caption,Views,Likes,Comments,Shares,Saves
,,,,,,,
10-09-2026,Instagram,Valid post,1000,50,0,0,0
11-09-2026,Instagram,Bad views,abc,50,0,0,0</t>
  </si>
  <si>
    <t xml:space="preserve">Date,Platform,Caption,Views,Likes,Comments,Shares,Saves,Notes
10-09-2026,Instagram,Same post,1000,50,0,0,0,
10-09-2026,Instagram,Same post,2000,50,0,0,0,
11-09-2026,Instagram,Spaced copy,1000,40,0,0,0,
11-09-2026,Instagram,"  Spaced copy  ",1000,40,0,0,0,
12-09-2026,Instagram,Bad copy,abc,40,0,0,0,
12-09-2026,Instagram,Bad copy,abc,40,0,0,0,</t>
  </si>
  <si>
    <t xml:space="preserve">Save as CSV UTF-8. Line 1 is the header; each following line is one row (row 2 onwards). Has a Notes column, left empty. Row 5's caption has two spaces before and after "Spaced copy".</t>
  </si>
  <si>
    <t xml:space="preserve">TC-066, TC-067, TC-068</t>
  </si>
  <si>
    <t xml:space="preserve">Date,Platform,Caption,Views,Likes,Comments,Shares,Saves
01-09-2026,Instagram,"Fresh rusk, straight out of the oven 🍞","12,400",610,38,45,52</t>
  </si>
  <si>
    <t xml:space="preserve">Date,Platform,Caption,Views,Likes,Comments,Shares,Saves
10-09-2026,YouTube,Shares and saves test,1000,20,5,10,15</t>
  </si>
  <si>
    <t xml:space="preserve">Date,Platform,Caption,Views,Likes,Comments,Shares,Saves
10-09-2026,Instagram,NA variants test,1000,40,10,N/A,n/a</t>
  </si>
  <si>
    <t xml:space="preserve">Date,Platform,Caption,Views,Likes,Comments,Shares,Saves
10-09-2026,Instagram,Zero interactions test,500,0,0,0,0</t>
  </si>
  <si>
    <t xml:space="preserve">Date,Platform,Caption,Views,Likes,Comments,Shares,Saves
10-09-2026,Instagram,Large numbers test,"1,00,00,000","5,00,000",0,0,0</t>
  </si>
  <si>
    <t xml:space="preserve">Date,Platform,Caption,Views,Likes,Comments,Shares,Saves
10-09-2026,Instagram,Small post,100,50,0,0,0
11-09-2026,Instagram,Big post,"10,000",100,0,0,0</t>
  </si>
  <si>
    <t xml:space="preserve">Date,Platform,Caption,Views,Likes,Comments,Shares,Saves
10-09-2026,Instagram,Half up A,"4,000",100,0,0,0
11-09-2026,Instagram,Half up B,"6,000",195,0,0,0</t>
  </si>
  <si>
    <t xml:space="preserve">Date,Platform,Caption,Views,Likes,Comments,Shares,Saves
10-09-2026,Instagram,Valid post,1000,50,0,0,0
11-09-2026,Instagram,Bad likes,1000,abc,500,0,0</t>
  </si>
  <si>
    <t xml:space="preserve">Date,Platform,Caption,Views,Likes,Comments,Shares,Saves
10-09-2026,Instagram,Valid post,1000,50,0,0,0
11-09-2026,Instagram,Zero views with likes,0,10,0,0,0</t>
  </si>
  <si>
    <t xml:space="preserve">Date,Platform,Caption,Views,Likes,Comments,Shares,Saves
10-09-2026,Instagram,Instagram only,1000,50,0,0,0</t>
  </si>
  <si>
    <t xml:space="preserve">Date,Platform,Caption,Views,Likes,Comments,Shares,Saves
10-09-2026,Instagram,Instagram post,1000,50,0,0,0
11-09-2026,YouTube,New video,0,0,0,0,NA</t>
  </si>
  <si>
    <t xml:space="preserve">Date,Platform,Caption,Views,Likes,Comments,Shares,Saves
10-09-2026,Instagram,Instagram post,1000,50,0,0,0
11-09-2026,YouTube,Short form views,12.4K,50,0,0,NA</t>
  </si>
  <si>
    <t xml:space="preserve">Date,Platform,Caption,Views,Likes,Comments,Shares,Saves
11-09-2026,YouTube,One YouTube post,"2,000",60,6,4,NA</t>
  </si>
  <si>
    <t xml:space="preserve">Date,Platform,Caption,Views,Likes,Comments,Shares,Saves
10-09-2026,Instagram,Boundary test,1000,100,0,0,0</t>
  </si>
  <si>
    <t xml:space="preserve">Date,Platform,Caption,Views,Likes,Comments,Shares,Saves
10-09-2026,Instagram,Boundary test,1000,99,0,0,0</t>
  </si>
  <si>
    <t xml:space="preserve">Date,Platform,Caption,Views,Likes,Comments,Shares,Saves
10-09-2026,Instagram,Boundary test,1000,60,0,0,0</t>
  </si>
  <si>
    <t xml:space="preserve">Date,Platform,Caption,Views,Likes,Comments,Shares,Saves
10-09-2026,Instagram,Boundary test,1000,59,0,0,0</t>
  </si>
  <si>
    <t xml:space="preserve">Date,Platform,Caption,Views,Likes,Comments,Shares,Saves
10-09-2026,Instagram,Boundary test,1000,30,0,0,0</t>
  </si>
  <si>
    <t xml:space="preserve">Date,Platform,Caption,Views,Likes,Comments,Shares,Saves
10-09-2026,Instagram,Boundary test,1000,29,0,0,0</t>
  </si>
  <si>
    <t xml:space="preserve">Date,Platform,Caption,Views,Likes,Comments,Shares,Saves
10-09-2026,Instagram,Boundary test,1000,10,0,0,0</t>
  </si>
  <si>
    <t xml:space="preserve">Date,Platform,Caption,Views,Likes,Comments,Shares,Saves
10-09-2026,Instagram,Boundary test,1000,9,0,0,0</t>
  </si>
  <si>
    <t xml:space="preserve">TC-104, TC-107</t>
  </si>
  <si>
    <t xml:space="preserve">Date,Platform,Caption,Views,Likes,Comments,Shares,Saves
10-09-2026,Instagram,Boundary test,2000,199,0,0,0</t>
  </si>
  <si>
    <t xml:space="preserve">Date,Platform,Caption,Views,Likes,Comments,Shares,Saves
10-09-2026,Instagram,Boundary test,5000,497,0,0,0</t>
  </si>
  <si>
    <t xml:space="preserve">Date,Platform,Caption,Views,Likes,Comments,Shares,Saves
10-09-2026,Instagram,Boundary test,2000,119,0,0,0</t>
  </si>
  <si>
    <t xml:space="preserve">Date,Platform,Caption,Views,Likes,Comments,Shares,Saves
10-09-2026,Instagram,Boundary test,2000,59,0,0,0</t>
  </si>
  <si>
    <t xml:space="preserve">Date,Platform,Caption,Views,Likes,Comments,Shares,Saves
10-09-2026,Instagram,Boundary test,2000,19,0,0,0</t>
  </si>
  <si>
    <t xml:space="preserve">Date,Platform,Caption,Views,Likes,Comments,Shares,Saves
10-08-2026,Instagram,August one,1000,50,0,0,0
11-08-2026,Instagram,August two,1000,50,0,0,0
12-08-2026,Instagram,August three,1000,50,0,0,0
10-09-2026,Instagram,September one,1000,50,0,0,0</t>
  </si>
  <si>
    <t xml:space="preserve">Date,Platform,Caption,Views,Likes,Comments,Shares,Saves
10-08-2026,Instagram,August one,1000,50,0,0,0
11-08-2026,Instagram,August two,1000,50,0,0,0
10-09-2026,Instagram,September one,1000,50,0,0,0
11-09-2026,Instagram,September two,1000,50,0,0,0</t>
  </si>
  <si>
    <t xml:space="preserve">Date,Platform,Caption,Views,Likes,Comments,Shares,Saves
10-10-2026,Instagram,October one,1000,50,0,0,0
11-10-2026,Instagram,October two,1000,50,0,0,0
10-09-2026,Instagram,September one,1000,50,0,0,0</t>
  </si>
  <si>
    <t xml:space="preserve">Date,Platform,Caption,Views,Likes,Comments,Shares,Saves
10-09-2026,Instagram,Tie fewer views,1000,200,0,0,0
11-09-2026,Instagram,Tie more views,2000,400,0,0,0
12-09-2026,Instagram,Filler one,1000,50,0,0,0
13-09-2026,Instagram,Filler two,1000,40,0,0,0
14-09-2026,Instagram,Filler three,1000,30,0,0,0
15-09-2026,Instagram,Filler four,1000,20,0,0,0</t>
  </si>
  <si>
    <t xml:space="preserve">Date,Platform,Caption,Views,Likes,Comments,Shares,Saves
12-09-2026,Instagram,Tie later date,1000,300,0,0,0
11-09-2026,Instagram,Tie earlier date,1000,300,0,0,0
13-09-2026,Instagram,Filler one,1000,50,0,0,0
14-09-2026,Instagram,Filler two,1000,40,0,0,0
15-09-2026,Instagram,Filler three,1000,30,0,0,0
16-09-2026,Instagram,Filler four,1000,20,0,0,0</t>
  </si>
  <si>
    <t xml:space="preserve">Date,Platform,Caption,Views,Likes,Comments,Shares,Saves
11-09-2026,Instagram,Tie first row,1000,300,0,0,0
11-09-2026,Instagram,Tie second row,1000,300,0,0,0
12-09-2026,Instagram,Filler one,1000,50,0,0,0
13-09-2026,Instagram,Filler two,1000,40,0,0,0
14-09-2026,Instagram,Filler three,1000,30,0,0,0
15-09-2026,Instagram,Filler four,1000,20,0,0,0</t>
  </si>
  <si>
    <t xml:space="preserve">Date,Platform,Caption,Views,Likes,Comments,Shares,Saves,Notes
10-09-2026,Instagram,Top post,1000,300,0,0,0,NOTE-SHOULD-NOT-SHOW
11-09-2026,Instagram,Second post,1000,50,0,0,0,</t>
  </si>
  <si>
    <t xml:space="preserve">Date,Platform,Caption,Views,Likes,Comments,Shares,Saves
12-09-2026,Instagram,Post C,1000,30,0,0,0
10-09-2026,Instagram,Post A,1000,50,0,0,0
14-09-2026,Instagram,Post E,1000,10,0,0,0
11-09-2026,Instagram,Post B,1000,40,0,0,0
13-09-2026,Instagram,Post D,1000,20,0,0,0</t>
  </si>
  <si>
    <t xml:space="preserve">Date,Platform,Caption,Views,Likes,Comments,Shares,Saves
13-09-2026,Instagram,Post D,1000,30,0,0,0
10-09-2026,Instagram,Post A,1000,60,0,0,0
15-09-2026,Instagram,Post F,1000,10,0,0,0
11-09-2026,Instagram,Post B,1000,50,0,0,0
14-09-2026,Instagram,Post E,1000,20,0,0,0
12-09-2026,Instagram,Post C,1000,40,0,0,0</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</si>
</sst>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sz val="10"/>
      </font>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4" min="3" style="0" width="9"/>
    <col collapsed="false" customWidth="true" hidden="false" outlineLevel="0" max="6" min="5" style="0" width="30"/>
    <col collapsed="false" customWidth="true" hidden="false" outlineLevel="0" max="7" min="7" style="0" width="24"/>
    <col collapsed="false" customWidth="true" hidden="false" outlineLevel="0" max="8" min="8" style="0" width="42"/>
    <col collapsed="false" customWidth="true" hidden="false" outlineLevel="0" max="9" min="9" style="0" width="60"/>
    <col collapsed="false" customWidth="true" hidden="false" outlineLevel="0" max="10" min="10" style="0" width="8"/>
    <col collapsed="false" customWidth="true" hidden="false" outlineLevel="0" max="11" min="11" style="0" width="18"/>
    <col collapsed="false" customWidth="true" hidden="false" outlineLevel="0" max="12" min="12" style="0" width="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47" hidden="false" customHeight="false" outlineLevel="0" collapsed="false">
      <c r="A2" s="2" t="s">
        <v>12</v>
      </c>
      <c r="B2" s="2" t="s">
        <v>13</v>
      </c>
      <c r="C2" s="2" t="s">
        <v>14</v>
      </c>
      <c r="D2" s="2" t="s">
        <v>15</v>
      </c>
      <c r="E2" s="2" t="s">
        <v>16</v>
      </c>
      <c r="F2" s="2" t="s">
        <v>17</v>
      </c>
      <c r="G2" s="2" t="s">
        <v>18</v>
      </c>
      <c r="H2" s="2" t="s">
        <v>19</v>
      </c>
      <c r="I2" s="2" t="s">
        <v>20</v>
      </c>
      <c r="J2" s="2" t="s">
        <v>21</v>
      </c>
      <c r="K2" s="2" t="s">
        <v>22</v>
      </c>
      <c r="L2" s="3" t="s">
        <v>23</v>
      </c>
    </row>
    <row r="3" customFormat="false" ht="57.45" hidden="false" customHeight="false" outlineLevel="0" collapsed="false">
      <c r="A3" s="2" t="s">
        <v>24</v>
      </c>
      <c r="B3" s="2" t="s">
        <v>13</v>
      </c>
      <c r="C3" s="2" t="s">
        <v>14</v>
      </c>
      <c r="D3" s="2" t="s">
        <v>25</v>
      </c>
      <c r="E3" s="2" t="s">
        <v>26</v>
      </c>
      <c r="F3" s="2" t="s">
        <v>27</v>
      </c>
      <c r="G3" s="2" t="s">
        <v>18</v>
      </c>
      <c r="H3" s="2" t="s">
        <v>28</v>
      </c>
      <c r="I3" s="2" t="s">
        <v>29</v>
      </c>
      <c r="J3" s="2" t="s">
        <v>21</v>
      </c>
      <c r="K3" s="2" t="s">
        <v>30</v>
      </c>
      <c r="L3" s="3" t="s">
        <v>23</v>
      </c>
    </row>
    <row r="4" customFormat="false" ht="147" hidden="false" customHeight="false" outlineLevel="0" collapsed="false">
      <c r="A4" s="2" t="s">
        <v>31</v>
      </c>
      <c r="B4" s="2" t="s">
        <v>13</v>
      </c>
      <c r="C4" s="2" t="s">
        <v>32</v>
      </c>
      <c r="D4" s="2" t="s">
        <v>15</v>
      </c>
      <c r="E4" s="2" t="s">
        <v>33</v>
      </c>
      <c r="F4" s="2" t="s">
        <v>17</v>
      </c>
      <c r="G4" s="2" t="s">
        <v>18</v>
      </c>
      <c r="H4" s="2" t="s">
        <v>34</v>
      </c>
      <c r="I4" s="2" t="s">
        <v>35</v>
      </c>
      <c r="J4" s="2" t="s">
        <v>21</v>
      </c>
      <c r="K4" s="2" t="s">
        <v>22</v>
      </c>
      <c r="L4" s="3" t="s">
        <v>23</v>
      </c>
    </row>
    <row r="5" customFormat="false" ht="158.2" hidden="false" customHeight="false" outlineLevel="0" collapsed="false">
      <c r="A5" s="2" t="s">
        <v>36</v>
      </c>
      <c r="B5" s="2" t="s">
        <v>13</v>
      </c>
      <c r="C5" s="2" t="s">
        <v>37</v>
      </c>
      <c r="D5" s="2" t="s">
        <v>15</v>
      </c>
      <c r="E5" s="2" t="s">
        <v>38</v>
      </c>
      <c r="F5" s="2" t="s">
        <v>39</v>
      </c>
      <c r="G5" s="2" t="s">
        <v>18</v>
      </c>
      <c r="H5" s="2" t="s">
        <v>40</v>
      </c>
      <c r="I5" s="2" t="s">
        <v>41</v>
      </c>
      <c r="J5" s="2" t="s">
        <v>21</v>
      </c>
      <c r="K5" s="2" t="s">
        <v>22</v>
      </c>
      <c r="L5" s="3" t="s">
        <v>23</v>
      </c>
    </row>
    <row r="6" customFormat="false" ht="68.65" hidden="false" customHeight="false" outlineLevel="0" collapsed="false">
      <c r="A6" s="2" t="s">
        <v>42</v>
      </c>
      <c r="B6" s="2" t="s">
        <v>13</v>
      </c>
      <c r="C6" s="2" t="s">
        <v>43</v>
      </c>
      <c r="D6" s="2" t="s">
        <v>15</v>
      </c>
      <c r="E6" s="2" t="s">
        <v>44</v>
      </c>
      <c r="F6" s="2" t="s">
        <v>45</v>
      </c>
      <c r="G6" s="2" t="s">
        <v>46</v>
      </c>
      <c r="H6" s="2" t="s">
        <v>47</v>
      </c>
      <c r="I6" s="2" t="s">
        <v>48</v>
      </c>
      <c r="J6" s="2" t="s">
        <v>21</v>
      </c>
      <c r="K6" s="2" t="s">
        <v>22</v>
      </c>
      <c r="L6" s="3" t="s">
        <v>23</v>
      </c>
    </row>
    <row r="7" customFormat="false" ht="35.05" hidden="false" customHeight="false" outlineLevel="0" collapsed="false">
      <c r="A7" s="2" t="s">
        <v>49</v>
      </c>
      <c r="B7" s="2" t="s">
        <v>50</v>
      </c>
      <c r="C7" s="2" t="s">
        <v>51</v>
      </c>
      <c r="D7" s="2" t="s">
        <v>25</v>
      </c>
      <c r="E7" s="2" t="s">
        <v>52</v>
      </c>
      <c r="F7" s="2" t="s">
        <v>17</v>
      </c>
      <c r="G7" s="2" t="s">
        <v>53</v>
      </c>
      <c r="H7" s="2" t="s">
        <v>54</v>
      </c>
      <c r="I7" s="2" t="s">
        <v>55</v>
      </c>
      <c r="J7" s="2" t="s">
        <v>21</v>
      </c>
      <c r="K7" s="2" t="s">
        <v>56</v>
      </c>
      <c r="L7" s="3" t="s">
        <v>23</v>
      </c>
    </row>
    <row r="8" customFormat="false" ht="35.05" hidden="false" customHeight="false" outlineLevel="0" collapsed="false">
      <c r="A8" s="2" t="s">
        <v>57</v>
      </c>
      <c r="B8" s="2" t="s">
        <v>50</v>
      </c>
      <c r="C8" s="2" t="s">
        <v>51</v>
      </c>
      <c r="D8" s="2" t="s">
        <v>25</v>
      </c>
      <c r="E8" s="2" t="s">
        <v>58</v>
      </c>
      <c r="F8" s="2" t="s">
        <v>17</v>
      </c>
      <c r="G8" s="2" t="s">
        <v>59</v>
      </c>
      <c r="H8" s="2" t="s">
        <v>60</v>
      </c>
      <c r="I8" s="2" t="s">
        <v>55</v>
      </c>
      <c r="J8" s="2" t="s">
        <v>21</v>
      </c>
      <c r="K8" s="2" t="s">
        <v>61</v>
      </c>
      <c r="L8" s="3" t="s">
        <v>23</v>
      </c>
    </row>
    <row r="9" customFormat="false" ht="35.05" hidden="false" customHeight="false" outlineLevel="0" collapsed="false">
      <c r="A9" s="2" t="s">
        <v>62</v>
      </c>
      <c r="B9" s="2" t="s">
        <v>50</v>
      </c>
      <c r="C9" s="2" t="s">
        <v>63</v>
      </c>
      <c r="D9" s="2" t="s">
        <v>25</v>
      </c>
      <c r="E9" s="2" t="s">
        <v>64</v>
      </c>
      <c r="F9" s="2" t="s">
        <v>17</v>
      </c>
      <c r="G9" s="2" t="s">
        <v>65</v>
      </c>
      <c r="H9" s="2" t="s">
        <v>66</v>
      </c>
      <c r="I9" s="2" t="s">
        <v>67</v>
      </c>
      <c r="J9" s="2" t="s">
        <v>21</v>
      </c>
      <c r="K9" s="2" t="s">
        <v>68</v>
      </c>
      <c r="L9" s="3" t="s">
        <v>23</v>
      </c>
    </row>
    <row r="10" customFormat="false" ht="35.05" hidden="false" customHeight="false" outlineLevel="0" collapsed="false">
      <c r="A10" s="2" t="s">
        <v>69</v>
      </c>
      <c r="B10" s="2" t="s">
        <v>50</v>
      </c>
      <c r="C10" s="2" t="s">
        <v>63</v>
      </c>
      <c r="D10" s="2" t="s">
        <v>25</v>
      </c>
      <c r="E10" s="2" t="s">
        <v>70</v>
      </c>
      <c r="F10" s="2" t="s">
        <v>17</v>
      </c>
      <c r="G10" s="2" t="s">
        <v>71</v>
      </c>
      <c r="H10" s="2" t="s">
        <v>72</v>
      </c>
      <c r="I10" s="2" t="s">
        <v>73</v>
      </c>
      <c r="J10" s="2" t="s">
        <v>21</v>
      </c>
      <c r="K10" s="2" t="s">
        <v>68</v>
      </c>
      <c r="L10" s="3" t="s">
        <v>23</v>
      </c>
    </row>
    <row r="11" customFormat="false" ht="35.05" hidden="false" customHeight="false" outlineLevel="0" collapsed="false">
      <c r="A11" s="2" t="s">
        <v>74</v>
      </c>
      <c r="B11" s="2" t="s">
        <v>50</v>
      </c>
      <c r="C11" s="2" t="s">
        <v>75</v>
      </c>
      <c r="D11" s="2" t="s">
        <v>15</v>
      </c>
      <c r="E11" s="2" t="s">
        <v>76</v>
      </c>
      <c r="F11" s="2" t="s">
        <v>17</v>
      </c>
      <c r="G11" s="2" t="s">
        <v>18</v>
      </c>
      <c r="H11" s="2" t="s">
        <v>77</v>
      </c>
      <c r="I11" s="2" t="s">
        <v>78</v>
      </c>
      <c r="J11" s="2" t="s">
        <v>21</v>
      </c>
      <c r="K11" s="2" t="s">
        <v>68</v>
      </c>
      <c r="L11" s="3" t="s">
        <v>23</v>
      </c>
    </row>
    <row r="12" customFormat="false" ht="35.05" hidden="false" customHeight="false" outlineLevel="0" collapsed="false">
      <c r="A12" s="2" t="s">
        <v>79</v>
      </c>
      <c r="B12" s="2" t="s">
        <v>50</v>
      </c>
      <c r="C12" s="2" t="s">
        <v>75</v>
      </c>
      <c r="D12" s="2" t="s">
        <v>80</v>
      </c>
      <c r="E12" s="2" t="s">
        <v>81</v>
      </c>
      <c r="F12" s="2" t="s">
        <v>17</v>
      </c>
      <c r="G12" s="2" t="s">
        <v>82</v>
      </c>
      <c r="H12" s="2" t="s">
        <v>83</v>
      </c>
      <c r="I12" s="2" t="s">
        <v>84</v>
      </c>
      <c r="J12" s="2" t="s">
        <v>21</v>
      </c>
      <c r="K12" s="2" t="s">
        <v>68</v>
      </c>
      <c r="L12" s="3" t="s">
        <v>23</v>
      </c>
    </row>
    <row r="13" customFormat="false" ht="124.6" hidden="false" customHeight="false" outlineLevel="0" collapsed="false">
      <c r="A13" s="2" t="s">
        <v>85</v>
      </c>
      <c r="B13" s="2" t="s">
        <v>50</v>
      </c>
      <c r="C13" s="2" t="s">
        <v>86</v>
      </c>
      <c r="D13" s="2" t="s">
        <v>15</v>
      </c>
      <c r="E13" s="2" t="s">
        <v>87</v>
      </c>
      <c r="F13" s="2" t="s">
        <v>17</v>
      </c>
      <c r="G13" s="2" t="s">
        <v>88</v>
      </c>
      <c r="H13" s="2" t="s">
        <v>89</v>
      </c>
      <c r="I13" s="2" t="s">
        <v>90</v>
      </c>
      <c r="J13" s="2" t="s">
        <v>21</v>
      </c>
      <c r="K13" s="2" t="s">
        <v>68</v>
      </c>
      <c r="L13" s="3" t="s">
        <v>23</v>
      </c>
    </row>
    <row r="14" customFormat="false" ht="35.05" hidden="false" customHeight="false" outlineLevel="0" collapsed="false">
      <c r="A14" s="2" t="s">
        <v>91</v>
      </c>
      <c r="B14" s="2" t="s">
        <v>50</v>
      </c>
      <c r="C14" s="2" t="s">
        <v>92</v>
      </c>
      <c r="D14" s="2" t="s">
        <v>15</v>
      </c>
      <c r="E14" s="2" t="s">
        <v>93</v>
      </c>
      <c r="F14" s="2" t="s">
        <v>17</v>
      </c>
      <c r="G14" s="2" t="s">
        <v>94</v>
      </c>
      <c r="H14" s="2" t="s">
        <v>95</v>
      </c>
      <c r="I14" s="2" t="s">
        <v>96</v>
      </c>
      <c r="J14" s="2" t="s">
        <v>21</v>
      </c>
      <c r="K14" s="2" t="s">
        <v>68</v>
      </c>
      <c r="L14" s="3" t="s">
        <v>23</v>
      </c>
    </row>
    <row r="15" customFormat="false" ht="35.05" hidden="false" customHeight="false" outlineLevel="0" collapsed="false">
      <c r="A15" s="2" t="s">
        <v>97</v>
      </c>
      <c r="B15" s="2" t="s">
        <v>50</v>
      </c>
      <c r="C15" s="2" t="s">
        <v>98</v>
      </c>
      <c r="D15" s="2" t="s">
        <v>25</v>
      </c>
      <c r="E15" s="2" t="s">
        <v>99</v>
      </c>
      <c r="F15" s="2" t="s">
        <v>17</v>
      </c>
      <c r="G15" s="2" t="s">
        <v>100</v>
      </c>
      <c r="H15" s="2" t="s">
        <v>101</v>
      </c>
      <c r="I15" s="2" t="s">
        <v>102</v>
      </c>
      <c r="J15" s="2" t="s">
        <v>21</v>
      </c>
      <c r="K15" s="2" t="s">
        <v>103</v>
      </c>
      <c r="L15" s="3" t="s">
        <v>23</v>
      </c>
    </row>
    <row r="16" customFormat="false" ht="35.05" hidden="false" customHeight="false" outlineLevel="0" collapsed="false">
      <c r="A16" s="2" t="s">
        <v>104</v>
      </c>
      <c r="B16" s="2" t="s">
        <v>50</v>
      </c>
      <c r="C16" s="2" t="s">
        <v>98</v>
      </c>
      <c r="D16" s="2" t="s">
        <v>80</v>
      </c>
      <c r="E16" s="2" t="s">
        <v>105</v>
      </c>
      <c r="F16" s="2" t="s">
        <v>17</v>
      </c>
      <c r="G16" s="2" t="s">
        <v>106</v>
      </c>
      <c r="H16" s="2" t="s">
        <v>107</v>
      </c>
      <c r="I16" s="2" t="s">
        <v>102</v>
      </c>
      <c r="J16" s="2" t="s">
        <v>21</v>
      </c>
      <c r="K16" s="2" t="s">
        <v>103</v>
      </c>
      <c r="L16" s="3" t="s">
        <v>23</v>
      </c>
    </row>
    <row r="17" customFormat="false" ht="35.05" hidden="false" customHeight="false" outlineLevel="0" collapsed="false">
      <c r="A17" s="2" t="s">
        <v>108</v>
      </c>
      <c r="B17" s="2" t="s">
        <v>50</v>
      </c>
      <c r="C17" s="2" t="s">
        <v>109</v>
      </c>
      <c r="D17" s="2" t="s">
        <v>25</v>
      </c>
      <c r="E17" s="2" t="s">
        <v>110</v>
      </c>
      <c r="F17" s="2" t="s">
        <v>17</v>
      </c>
      <c r="G17" s="2" t="s">
        <v>111</v>
      </c>
      <c r="H17" s="2" t="s">
        <v>112</v>
      </c>
      <c r="I17" s="2" t="s">
        <v>113</v>
      </c>
      <c r="J17" s="2" t="s">
        <v>21</v>
      </c>
      <c r="K17" s="2" t="s">
        <v>114</v>
      </c>
      <c r="L17" s="3" t="s">
        <v>23</v>
      </c>
    </row>
    <row r="18" customFormat="false" ht="35.05" hidden="false" customHeight="false" outlineLevel="0" collapsed="false">
      <c r="A18" s="2" t="s">
        <v>115</v>
      </c>
      <c r="B18" s="2" t="s">
        <v>50</v>
      </c>
      <c r="C18" s="2" t="s">
        <v>109</v>
      </c>
      <c r="D18" s="2" t="s">
        <v>80</v>
      </c>
      <c r="E18" s="2" t="s">
        <v>116</v>
      </c>
      <c r="F18" s="2" t="s">
        <v>17</v>
      </c>
      <c r="G18" s="2" t="s">
        <v>117</v>
      </c>
      <c r="H18" s="2" t="s">
        <v>118</v>
      </c>
      <c r="I18" s="2" t="s">
        <v>119</v>
      </c>
      <c r="J18" s="2" t="s">
        <v>21</v>
      </c>
      <c r="K18" s="2" t="s">
        <v>114</v>
      </c>
      <c r="L18" s="3" t="s">
        <v>23</v>
      </c>
    </row>
    <row r="19" customFormat="false" ht="35.05" hidden="false" customHeight="false" outlineLevel="0" collapsed="false">
      <c r="A19" s="2" t="s">
        <v>120</v>
      </c>
      <c r="B19" s="2" t="s">
        <v>50</v>
      </c>
      <c r="C19" s="2" t="s">
        <v>121</v>
      </c>
      <c r="D19" s="2" t="s">
        <v>25</v>
      </c>
      <c r="E19" s="2" t="s">
        <v>122</v>
      </c>
      <c r="F19" s="2" t="s">
        <v>17</v>
      </c>
      <c r="G19" s="2" t="s">
        <v>123</v>
      </c>
      <c r="H19" s="2" t="s">
        <v>124</v>
      </c>
      <c r="I19" s="2" t="s">
        <v>125</v>
      </c>
      <c r="J19" s="2" t="s">
        <v>21</v>
      </c>
      <c r="K19" s="2" t="s">
        <v>103</v>
      </c>
      <c r="L19" s="3" t="s">
        <v>23</v>
      </c>
    </row>
    <row r="20" customFormat="false" ht="35.05" hidden="false" customHeight="false" outlineLevel="0" collapsed="false">
      <c r="A20" s="2" t="s">
        <v>126</v>
      </c>
      <c r="B20" s="2" t="s">
        <v>50</v>
      </c>
      <c r="C20" s="2" t="s">
        <v>127</v>
      </c>
      <c r="D20" s="2" t="s">
        <v>80</v>
      </c>
      <c r="E20" s="2" t="s">
        <v>128</v>
      </c>
      <c r="F20" s="2" t="s">
        <v>17</v>
      </c>
      <c r="G20" s="2" t="s">
        <v>129</v>
      </c>
      <c r="H20" s="2" t="s">
        <v>130</v>
      </c>
      <c r="I20" s="2" t="s">
        <v>131</v>
      </c>
      <c r="J20" s="2" t="s">
        <v>21</v>
      </c>
      <c r="K20" s="2" t="s">
        <v>103</v>
      </c>
      <c r="L20" s="3" t="s">
        <v>23</v>
      </c>
    </row>
    <row r="21" customFormat="false" ht="35.05" hidden="false" customHeight="false" outlineLevel="0" collapsed="false">
      <c r="A21" s="2" t="s">
        <v>132</v>
      </c>
      <c r="B21" s="2" t="s">
        <v>133</v>
      </c>
      <c r="C21" s="2" t="s">
        <v>134</v>
      </c>
      <c r="D21" s="2" t="s">
        <v>25</v>
      </c>
      <c r="E21" s="2" t="s">
        <v>135</v>
      </c>
      <c r="F21" s="2" t="s">
        <v>17</v>
      </c>
      <c r="G21" s="2" t="s">
        <v>53</v>
      </c>
      <c r="H21" s="2" t="s">
        <v>54</v>
      </c>
      <c r="I21" s="2" t="s">
        <v>136</v>
      </c>
      <c r="J21" s="2" t="s">
        <v>137</v>
      </c>
      <c r="K21" s="2" t="s">
        <v>138</v>
      </c>
      <c r="L21" s="3" t="s">
        <v>23</v>
      </c>
    </row>
    <row r="22" customFormat="false" ht="35.05" hidden="false" customHeight="false" outlineLevel="0" collapsed="false">
      <c r="A22" s="2" t="s">
        <v>139</v>
      </c>
      <c r="B22" s="2" t="s">
        <v>140</v>
      </c>
      <c r="C22" s="2" t="s">
        <v>141</v>
      </c>
      <c r="D22" s="2" t="s">
        <v>15</v>
      </c>
      <c r="E22" s="2" t="s">
        <v>142</v>
      </c>
      <c r="F22" s="2" t="s">
        <v>17</v>
      </c>
      <c r="G22" s="2" t="s">
        <v>18</v>
      </c>
      <c r="H22" s="2" t="s">
        <v>143</v>
      </c>
      <c r="I22" s="2" t="s">
        <v>144</v>
      </c>
      <c r="J22" s="2" t="s">
        <v>21</v>
      </c>
      <c r="K22" s="2" t="s">
        <v>145</v>
      </c>
      <c r="L22" s="3" t="s">
        <v>23</v>
      </c>
    </row>
    <row r="23" customFormat="false" ht="35.05" hidden="false" customHeight="false" outlineLevel="0" collapsed="false">
      <c r="A23" s="2" t="s">
        <v>146</v>
      </c>
      <c r="B23" s="2" t="s">
        <v>140</v>
      </c>
      <c r="C23" s="2" t="s">
        <v>141</v>
      </c>
      <c r="D23" s="2" t="s">
        <v>25</v>
      </c>
      <c r="E23" s="2" t="s">
        <v>147</v>
      </c>
      <c r="F23" s="2" t="s">
        <v>17</v>
      </c>
      <c r="G23" s="2" t="s">
        <v>148</v>
      </c>
      <c r="H23" s="2" t="s">
        <v>149</v>
      </c>
      <c r="I23" s="2" t="s">
        <v>150</v>
      </c>
      <c r="J23" s="2" t="s">
        <v>21</v>
      </c>
      <c r="K23" s="2" t="s">
        <v>151</v>
      </c>
      <c r="L23" s="3" t="s">
        <v>23</v>
      </c>
    </row>
    <row r="24" customFormat="false" ht="79.85" hidden="false" customHeight="false" outlineLevel="0" collapsed="false">
      <c r="A24" s="2" t="s">
        <v>152</v>
      </c>
      <c r="B24" s="2" t="s">
        <v>140</v>
      </c>
      <c r="C24" s="2" t="s">
        <v>153</v>
      </c>
      <c r="D24" s="2" t="s">
        <v>25</v>
      </c>
      <c r="E24" s="2" t="s">
        <v>154</v>
      </c>
      <c r="F24" s="2" t="s">
        <v>17</v>
      </c>
      <c r="G24" s="2" t="s">
        <v>18</v>
      </c>
      <c r="H24" s="2" t="s">
        <v>155</v>
      </c>
      <c r="I24" s="2" t="s">
        <v>156</v>
      </c>
      <c r="J24" s="2" t="s">
        <v>21</v>
      </c>
      <c r="K24" s="2" t="s">
        <v>145</v>
      </c>
      <c r="L24" s="3" t="s">
        <v>23</v>
      </c>
    </row>
    <row r="25" customFormat="false" ht="35.05" hidden="false" customHeight="false" outlineLevel="0" collapsed="false">
      <c r="A25" s="2" t="s">
        <v>157</v>
      </c>
      <c r="B25" s="2" t="s">
        <v>140</v>
      </c>
      <c r="C25" s="2" t="s">
        <v>158</v>
      </c>
      <c r="D25" s="2" t="s">
        <v>25</v>
      </c>
      <c r="E25" s="2" t="s">
        <v>159</v>
      </c>
      <c r="F25" s="2" t="s">
        <v>17</v>
      </c>
      <c r="G25" s="2" t="s">
        <v>160</v>
      </c>
      <c r="H25" s="2" t="s">
        <v>161</v>
      </c>
      <c r="I25" s="2" t="s">
        <v>162</v>
      </c>
      <c r="J25" s="2" t="s">
        <v>21</v>
      </c>
      <c r="K25" s="2" t="s">
        <v>145</v>
      </c>
      <c r="L25" s="3" t="s">
        <v>23</v>
      </c>
    </row>
    <row r="26" customFormat="false" ht="35.05" hidden="false" customHeight="false" outlineLevel="0" collapsed="false">
      <c r="A26" s="2" t="s">
        <v>163</v>
      </c>
      <c r="B26" s="2" t="s">
        <v>140</v>
      </c>
      <c r="C26" s="2" t="s">
        <v>158</v>
      </c>
      <c r="D26" s="2" t="s">
        <v>25</v>
      </c>
      <c r="E26" s="2" t="s">
        <v>164</v>
      </c>
      <c r="F26" s="2" t="s">
        <v>17</v>
      </c>
      <c r="G26" s="2" t="s">
        <v>165</v>
      </c>
      <c r="H26" s="2" t="s">
        <v>166</v>
      </c>
      <c r="I26" s="2" t="s">
        <v>167</v>
      </c>
      <c r="J26" s="2" t="s">
        <v>21</v>
      </c>
      <c r="K26" s="2" t="s">
        <v>168</v>
      </c>
      <c r="L26" s="3" t="s">
        <v>23</v>
      </c>
    </row>
    <row r="27" customFormat="false" ht="57.45" hidden="false" customHeight="false" outlineLevel="0" collapsed="false">
      <c r="A27" s="2" t="s">
        <v>169</v>
      </c>
      <c r="B27" s="2" t="s">
        <v>140</v>
      </c>
      <c r="C27" s="2" t="s">
        <v>170</v>
      </c>
      <c r="D27" s="2" t="s">
        <v>25</v>
      </c>
      <c r="E27" s="2" t="s">
        <v>171</v>
      </c>
      <c r="F27" s="2" t="s">
        <v>17</v>
      </c>
      <c r="G27" s="2" t="s">
        <v>172</v>
      </c>
      <c r="H27" s="2" t="s">
        <v>173</v>
      </c>
      <c r="I27" s="2" t="s">
        <v>174</v>
      </c>
      <c r="J27" s="2" t="s">
        <v>21</v>
      </c>
      <c r="K27" s="2" t="s">
        <v>145</v>
      </c>
      <c r="L27" s="3" t="s">
        <v>23</v>
      </c>
    </row>
    <row r="28" customFormat="false" ht="35.05" hidden="false" customHeight="false" outlineLevel="0" collapsed="false">
      <c r="A28" s="2" t="s">
        <v>175</v>
      </c>
      <c r="B28" s="2" t="s">
        <v>140</v>
      </c>
      <c r="C28" s="2" t="s">
        <v>176</v>
      </c>
      <c r="D28" s="2" t="s">
        <v>15</v>
      </c>
      <c r="E28" s="2" t="s">
        <v>177</v>
      </c>
      <c r="F28" s="2" t="s">
        <v>17</v>
      </c>
      <c r="G28" s="2" t="s">
        <v>178</v>
      </c>
      <c r="H28" s="2" t="s">
        <v>179</v>
      </c>
      <c r="I28" s="2" t="s">
        <v>180</v>
      </c>
      <c r="J28" s="2" t="s">
        <v>21</v>
      </c>
      <c r="K28" s="2" t="s">
        <v>145</v>
      </c>
      <c r="L28" s="3" t="s">
        <v>23</v>
      </c>
    </row>
    <row r="29" customFormat="false" ht="35.05" hidden="false" customHeight="false" outlineLevel="0" collapsed="false">
      <c r="A29" s="2" t="s">
        <v>181</v>
      </c>
      <c r="B29" s="2" t="s">
        <v>140</v>
      </c>
      <c r="C29" s="2" t="s">
        <v>182</v>
      </c>
      <c r="D29" s="2" t="s">
        <v>15</v>
      </c>
      <c r="E29" s="2" t="s">
        <v>183</v>
      </c>
      <c r="F29" s="2" t="s">
        <v>17</v>
      </c>
      <c r="G29" s="2" t="s">
        <v>18</v>
      </c>
      <c r="H29" s="2" t="s">
        <v>184</v>
      </c>
      <c r="I29" s="2" t="s">
        <v>185</v>
      </c>
      <c r="J29" s="2" t="s">
        <v>21</v>
      </c>
      <c r="K29" s="2" t="s">
        <v>145</v>
      </c>
      <c r="L29" s="3" t="s">
        <v>23</v>
      </c>
    </row>
    <row r="30" customFormat="false" ht="46.25" hidden="false" customHeight="false" outlineLevel="0" collapsed="false">
      <c r="A30" s="2" t="s">
        <v>186</v>
      </c>
      <c r="B30" s="2" t="s">
        <v>187</v>
      </c>
      <c r="C30" s="2" t="s">
        <v>188</v>
      </c>
      <c r="D30" s="2" t="s">
        <v>15</v>
      </c>
      <c r="E30" s="2" t="s">
        <v>189</v>
      </c>
      <c r="F30" s="2" t="s">
        <v>190</v>
      </c>
      <c r="G30" s="2" t="s">
        <v>18</v>
      </c>
      <c r="H30" s="2" t="s">
        <v>191</v>
      </c>
      <c r="I30" s="2" t="s">
        <v>192</v>
      </c>
      <c r="J30" s="2" t="s">
        <v>21</v>
      </c>
      <c r="K30" s="2" t="s">
        <v>193</v>
      </c>
      <c r="L30" s="3" t="s">
        <v>23</v>
      </c>
    </row>
    <row r="31" customFormat="false" ht="46.25" hidden="false" customHeight="false" outlineLevel="0" collapsed="false">
      <c r="A31" s="2" t="s">
        <v>194</v>
      </c>
      <c r="B31" s="2" t="s">
        <v>187</v>
      </c>
      <c r="C31" s="2" t="s">
        <v>195</v>
      </c>
      <c r="D31" s="2" t="s">
        <v>15</v>
      </c>
      <c r="E31" s="2" t="s">
        <v>196</v>
      </c>
      <c r="F31" s="2" t="s">
        <v>190</v>
      </c>
      <c r="G31" s="2" t="s">
        <v>18</v>
      </c>
      <c r="H31" s="2" t="s">
        <v>197</v>
      </c>
      <c r="I31" s="2" t="s">
        <v>198</v>
      </c>
      <c r="J31" s="2" t="s">
        <v>21</v>
      </c>
      <c r="K31" s="2" t="s">
        <v>193</v>
      </c>
      <c r="L31" s="3" t="s">
        <v>23</v>
      </c>
    </row>
    <row r="32" customFormat="false" ht="35.05" hidden="false" customHeight="false" outlineLevel="0" collapsed="false">
      <c r="A32" s="2" t="s">
        <v>199</v>
      </c>
      <c r="B32" s="2" t="s">
        <v>187</v>
      </c>
      <c r="C32" s="2" t="s">
        <v>200</v>
      </c>
      <c r="D32" s="2" t="s">
        <v>25</v>
      </c>
      <c r="E32" s="2" t="s">
        <v>201</v>
      </c>
      <c r="F32" s="2" t="s">
        <v>17</v>
      </c>
      <c r="G32" s="2" t="s">
        <v>18</v>
      </c>
      <c r="H32" s="2" t="s">
        <v>202</v>
      </c>
      <c r="I32" s="2" t="s">
        <v>203</v>
      </c>
      <c r="J32" s="2" t="s">
        <v>21</v>
      </c>
      <c r="K32" s="2" t="s">
        <v>193</v>
      </c>
      <c r="L32" s="3" t="s">
        <v>23</v>
      </c>
    </row>
    <row r="33" customFormat="false" ht="35.05" hidden="false" customHeight="false" outlineLevel="0" collapsed="false">
      <c r="A33" s="2" t="s">
        <v>204</v>
      </c>
      <c r="B33" s="2" t="s">
        <v>187</v>
      </c>
      <c r="C33" s="2" t="s">
        <v>200</v>
      </c>
      <c r="D33" s="2" t="s">
        <v>25</v>
      </c>
      <c r="E33" s="2" t="s">
        <v>205</v>
      </c>
      <c r="F33" s="2" t="s">
        <v>17</v>
      </c>
      <c r="G33" s="2" t="s">
        <v>206</v>
      </c>
      <c r="H33" s="2" t="s">
        <v>207</v>
      </c>
      <c r="I33" s="2" t="s">
        <v>208</v>
      </c>
      <c r="J33" s="2" t="s">
        <v>21</v>
      </c>
      <c r="K33" s="2" t="s">
        <v>209</v>
      </c>
      <c r="L33" s="3" t="s">
        <v>23</v>
      </c>
    </row>
    <row r="34" customFormat="false" ht="35.05" hidden="false" customHeight="false" outlineLevel="0" collapsed="false">
      <c r="A34" s="2" t="s">
        <v>210</v>
      </c>
      <c r="B34" s="2" t="s">
        <v>187</v>
      </c>
      <c r="C34" s="2" t="s">
        <v>211</v>
      </c>
      <c r="D34" s="2" t="s">
        <v>25</v>
      </c>
      <c r="E34" s="2" t="s">
        <v>212</v>
      </c>
      <c r="F34" s="2" t="s">
        <v>17</v>
      </c>
      <c r="G34" s="2" t="s">
        <v>18</v>
      </c>
      <c r="H34" s="2" t="s">
        <v>202</v>
      </c>
      <c r="I34" s="2" t="s">
        <v>213</v>
      </c>
      <c r="J34" s="2" t="s">
        <v>21</v>
      </c>
      <c r="K34" s="2" t="s">
        <v>193</v>
      </c>
      <c r="L34" s="3" t="s">
        <v>23</v>
      </c>
    </row>
    <row r="35" customFormat="false" ht="35.05" hidden="false" customHeight="false" outlineLevel="0" collapsed="false">
      <c r="A35" s="2" t="s">
        <v>214</v>
      </c>
      <c r="B35" s="2" t="s">
        <v>187</v>
      </c>
      <c r="C35" s="2" t="s">
        <v>211</v>
      </c>
      <c r="D35" s="2" t="s">
        <v>80</v>
      </c>
      <c r="E35" s="2" t="s">
        <v>215</v>
      </c>
      <c r="F35" s="2" t="s">
        <v>17</v>
      </c>
      <c r="G35" s="2" t="s">
        <v>206</v>
      </c>
      <c r="H35" s="2" t="s">
        <v>207</v>
      </c>
      <c r="I35" s="2" t="s">
        <v>216</v>
      </c>
      <c r="J35" s="2" t="s">
        <v>21</v>
      </c>
      <c r="K35" s="2" t="s">
        <v>193</v>
      </c>
      <c r="L35" s="3" t="s">
        <v>23</v>
      </c>
    </row>
    <row r="36" customFormat="false" ht="35.05" hidden="false" customHeight="false" outlineLevel="0" collapsed="false">
      <c r="A36" s="2" t="s">
        <v>217</v>
      </c>
      <c r="B36" s="2" t="s">
        <v>187</v>
      </c>
      <c r="C36" s="2" t="s">
        <v>218</v>
      </c>
      <c r="D36" s="2" t="s">
        <v>25</v>
      </c>
      <c r="E36" s="2" t="s">
        <v>219</v>
      </c>
      <c r="F36" s="2" t="s">
        <v>17</v>
      </c>
      <c r="G36" s="2" t="s">
        <v>206</v>
      </c>
      <c r="H36" s="2" t="s">
        <v>220</v>
      </c>
      <c r="I36" s="2" t="s">
        <v>221</v>
      </c>
      <c r="J36" s="2" t="s">
        <v>21</v>
      </c>
      <c r="K36" s="2" t="s">
        <v>193</v>
      </c>
      <c r="L36" s="3" t="s">
        <v>23</v>
      </c>
    </row>
    <row r="37" customFormat="false" ht="35.05" hidden="false" customHeight="false" outlineLevel="0" collapsed="false">
      <c r="A37" s="2" t="s">
        <v>222</v>
      </c>
      <c r="B37" s="2" t="s">
        <v>187</v>
      </c>
      <c r="C37" s="2" t="s">
        <v>218</v>
      </c>
      <c r="D37" s="2" t="s">
        <v>80</v>
      </c>
      <c r="E37" s="2" t="s">
        <v>223</v>
      </c>
      <c r="F37" s="2" t="s">
        <v>17</v>
      </c>
      <c r="G37" s="2" t="s">
        <v>206</v>
      </c>
      <c r="H37" s="2" t="s">
        <v>224</v>
      </c>
      <c r="I37" s="2" t="s">
        <v>225</v>
      </c>
      <c r="J37" s="2" t="s">
        <v>21</v>
      </c>
      <c r="K37" s="2" t="s">
        <v>193</v>
      </c>
      <c r="L37" s="3" t="s">
        <v>23</v>
      </c>
    </row>
    <row r="38" customFormat="false" ht="35.05" hidden="false" customHeight="false" outlineLevel="0" collapsed="false">
      <c r="A38" s="2" t="s">
        <v>226</v>
      </c>
      <c r="B38" s="2" t="s">
        <v>187</v>
      </c>
      <c r="C38" s="2" t="s">
        <v>218</v>
      </c>
      <c r="D38" s="2" t="s">
        <v>25</v>
      </c>
      <c r="E38" s="2" t="s">
        <v>227</v>
      </c>
      <c r="F38" s="2" t="s">
        <v>17</v>
      </c>
      <c r="G38" s="2" t="s">
        <v>206</v>
      </c>
      <c r="H38" s="2" t="s">
        <v>207</v>
      </c>
      <c r="I38" s="2" t="s">
        <v>228</v>
      </c>
      <c r="J38" s="2" t="s">
        <v>21</v>
      </c>
      <c r="K38" s="2" t="s">
        <v>193</v>
      </c>
      <c r="L38" s="3" t="s">
        <v>23</v>
      </c>
    </row>
    <row r="39" customFormat="false" ht="46.25" hidden="false" customHeight="false" outlineLevel="0" collapsed="false">
      <c r="A39" s="2" t="s">
        <v>229</v>
      </c>
      <c r="B39" s="2" t="s">
        <v>187</v>
      </c>
      <c r="C39" s="2" t="s">
        <v>230</v>
      </c>
      <c r="D39" s="2" t="s">
        <v>15</v>
      </c>
      <c r="E39" s="2" t="s">
        <v>231</v>
      </c>
      <c r="F39" s="2" t="s">
        <v>17</v>
      </c>
      <c r="G39" s="2" t="s">
        <v>206</v>
      </c>
      <c r="H39" s="2" t="s">
        <v>232</v>
      </c>
      <c r="I39" s="2" t="s">
        <v>233</v>
      </c>
      <c r="J39" s="2" t="s">
        <v>21</v>
      </c>
      <c r="K39" s="2" t="s">
        <v>193</v>
      </c>
      <c r="L39" s="3" t="s">
        <v>23</v>
      </c>
    </row>
    <row r="40" customFormat="false" ht="46.25" hidden="false" customHeight="false" outlineLevel="0" collapsed="false">
      <c r="A40" s="2" t="s">
        <v>234</v>
      </c>
      <c r="B40" s="2" t="s">
        <v>187</v>
      </c>
      <c r="C40" s="2" t="s">
        <v>235</v>
      </c>
      <c r="D40" s="2" t="s">
        <v>15</v>
      </c>
      <c r="E40" s="2" t="s">
        <v>236</v>
      </c>
      <c r="F40" s="2" t="s">
        <v>17</v>
      </c>
      <c r="G40" s="2" t="s">
        <v>206</v>
      </c>
      <c r="H40" s="2" t="s">
        <v>237</v>
      </c>
      <c r="I40" s="2" t="s">
        <v>238</v>
      </c>
      <c r="J40" s="2" t="s">
        <v>21</v>
      </c>
      <c r="K40" s="2" t="s">
        <v>193</v>
      </c>
      <c r="L40" s="3" t="s">
        <v>23</v>
      </c>
    </row>
    <row r="41" customFormat="false" ht="35.05" hidden="false" customHeight="false" outlineLevel="0" collapsed="false">
      <c r="A41" s="2" t="s">
        <v>239</v>
      </c>
      <c r="B41" s="2" t="s">
        <v>187</v>
      </c>
      <c r="C41" s="2" t="s">
        <v>240</v>
      </c>
      <c r="D41" s="2" t="s">
        <v>25</v>
      </c>
      <c r="E41" s="2" t="s">
        <v>241</v>
      </c>
      <c r="F41" s="2" t="s">
        <v>17</v>
      </c>
      <c r="G41" s="2" t="s">
        <v>206</v>
      </c>
      <c r="H41" s="2" t="s">
        <v>207</v>
      </c>
      <c r="I41" s="2" t="s">
        <v>242</v>
      </c>
      <c r="J41" s="2" t="s">
        <v>21</v>
      </c>
      <c r="K41" s="2" t="s">
        <v>193</v>
      </c>
      <c r="L41" s="3" t="s">
        <v>23</v>
      </c>
    </row>
    <row r="42" customFormat="false" ht="35.05" hidden="false" customHeight="false" outlineLevel="0" collapsed="false">
      <c r="A42" s="2" t="s">
        <v>243</v>
      </c>
      <c r="B42" s="2" t="s">
        <v>244</v>
      </c>
      <c r="C42" s="2" t="s">
        <v>245</v>
      </c>
      <c r="D42" s="2" t="s">
        <v>15</v>
      </c>
      <c r="E42" s="2" t="s">
        <v>246</v>
      </c>
      <c r="F42" s="2" t="s">
        <v>17</v>
      </c>
      <c r="G42" s="2" t="s">
        <v>18</v>
      </c>
      <c r="H42" s="2" t="s">
        <v>247</v>
      </c>
      <c r="I42" s="2" t="s">
        <v>248</v>
      </c>
      <c r="J42" s="2" t="s">
        <v>21</v>
      </c>
      <c r="K42" s="2" t="s">
        <v>249</v>
      </c>
      <c r="L42" s="3" t="s">
        <v>23</v>
      </c>
    </row>
    <row r="43" customFormat="false" ht="35.05" hidden="false" customHeight="false" outlineLevel="0" collapsed="false">
      <c r="A43" s="2" t="s">
        <v>250</v>
      </c>
      <c r="B43" s="2" t="s">
        <v>244</v>
      </c>
      <c r="C43" s="2" t="s">
        <v>251</v>
      </c>
      <c r="D43" s="2" t="s">
        <v>15</v>
      </c>
      <c r="E43" s="2" t="s">
        <v>252</v>
      </c>
      <c r="F43" s="2" t="s">
        <v>17</v>
      </c>
      <c r="G43" s="2" t="s">
        <v>18</v>
      </c>
      <c r="H43" s="2" t="s">
        <v>253</v>
      </c>
      <c r="I43" s="2" t="s">
        <v>254</v>
      </c>
      <c r="J43" s="2" t="s">
        <v>21</v>
      </c>
      <c r="K43" s="2" t="s">
        <v>249</v>
      </c>
      <c r="L43" s="3" t="s">
        <v>23</v>
      </c>
    </row>
    <row r="44" customFormat="false" ht="35.05" hidden="false" customHeight="false" outlineLevel="0" collapsed="false">
      <c r="A44" s="2" t="s">
        <v>255</v>
      </c>
      <c r="B44" s="2" t="s">
        <v>244</v>
      </c>
      <c r="C44" s="2" t="s">
        <v>256</v>
      </c>
      <c r="D44" s="2" t="s">
        <v>15</v>
      </c>
      <c r="E44" s="2" t="s">
        <v>257</v>
      </c>
      <c r="F44" s="2" t="s">
        <v>17</v>
      </c>
      <c r="G44" s="2" t="s">
        <v>258</v>
      </c>
      <c r="H44" s="2" t="s">
        <v>259</v>
      </c>
      <c r="I44" s="2" t="s">
        <v>260</v>
      </c>
      <c r="J44" s="2" t="s">
        <v>21</v>
      </c>
      <c r="K44" s="2" t="s">
        <v>249</v>
      </c>
      <c r="L44" s="3" t="s">
        <v>23</v>
      </c>
    </row>
    <row r="45" customFormat="false" ht="35.05" hidden="false" customHeight="false" outlineLevel="0" collapsed="false">
      <c r="A45" s="2" t="s">
        <v>261</v>
      </c>
      <c r="B45" s="2" t="s">
        <v>244</v>
      </c>
      <c r="C45" s="2" t="s">
        <v>256</v>
      </c>
      <c r="D45" s="2" t="s">
        <v>80</v>
      </c>
      <c r="E45" s="2" t="s">
        <v>262</v>
      </c>
      <c r="F45" s="2" t="s">
        <v>17</v>
      </c>
      <c r="G45" s="2" t="s">
        <v>263</v>
      </c>
      <c r="H45" s="2" t="s">
        <v>264</v>
      </c>
      <c r="I45" s="2" t="s">
        <v>265</v>
      </c>
      <c r="J45" s="2" t="s">
        <v>21</v>
      </c>
      <c r="K45" s="2" t="s">
        <v>266</v>
      </c>
      <c r="L45" s="3" t="s">
        <v>23</v>
      </c>
    </row>
    <row r="46" customFormat="false" ht="35.05" hidden="false" customHeight="false" outlineLevel="0" collapsed="false">
      <c r="A46" s="2" t="s">
        <v>267</v>
      </c>
      <c r="B46" s="2" t="s">
        <v>244</v>
      </c>
      <c r="C46" s="2" t="s">
        <v>256</v>
      </c>
      <c r="D46" s="2" t="s">
        <v>25</v>
      </c>
      <c r="E46" s="2" t="s">
        <v>268</v>
      </c>
      <c r="F46" s="2" t="s">
        <v>17</v>
      </c>
      <c r="G46" s="2" t="s">
        <v>148</v>
      </c>
      <c r="H46" s="2" t="s">
        <v>149</v>
      </c>
      <c r="I46" s="2" t="s">
        <v>269</v>
      </c>
      <c r="J46" s="2" t="s">
        <v>21</v>
      </c>
      <c r="K46" s="2" t="s">
        <v>266</v>
      </c>
      <c r="L46" s="3" t="s">
        <v>23</v>
      </c>
    </row>
    <row r="47" customFormat="false" ht="35.05" hidden="false" customHeight="false" outlineLevel="0" collapsed="false">
      <c r="A47" s="2" t="s">
        <v>270</v>
      </c>
      <c r="B47" s="2" t="s">
        <v>271</v>
      </c>
      <c r="C47" s="2" t="s">
        <v>272</v>
      </c>
      <c r="D47" s="2" t="s">
        <v>15</v>
      </c>
      <c r="E47" s="2" t="s">
        <v>273</v>
      </c>
      <c r="F47" s="2" t="s">
        <v>17</v>
      </c>
      <c r="G47" s="2" t="s">
        <v>18</v>
      </c>
      <c r="H47" s="2" t="s">
        <v>274</v>
      </c>
      <c r="I47" s="2" t="s">
        <v>275</v>
      </c>
      <c r="J47" s="2" t="s">
        <v>21</v>
      </c>
      <c r="K47" s="2" t="s">
        <v>276</v>
      </c>
      <c r="L47" s="3" t="s">
        <v>23</v>
      </c>
    </row>
    <row r="48" customFormat="false" ht="35.05" hidden="false" customHeight="false" outlineLevel="0" collapsed="false">
      <c r="A48" s="2" t="s">
        <v>277</v>
      </c>
      <c r="B48" s="2" t="s">
        <v>271</v>
      </c>
      <c r="C48" s="2" t="s">
        <v>278</v>
      </c>
      <c r="D48" s="2" t="s">
        <v>15</v>
      </c>
      <c r="E48" s="2" t="s">
        <v>279</v>
      </c>
      <c r="F48" s="2" t="s">
        <v>17</v>
      </c>
      <c r="G48" s="2" t="s">
        <v>18</v>
      </c>
      <c r="H48" s="2" t="s">
        <v>247</v>
      </c>
      <c r="I48" s="2" t="s">
        <v>280</v>
      </c>
      <c r="J48" s="2" t="s">
        <v>21</v>
      </c>
      <c r="K48" s="2" t="s">
        <v>276</v>
      </c>
      <c r="L48" s="3" t="s">
        <v>23</v>
      </c>
    </row>
    <row r="49" customFormat="false" ht="35.05" hidden="false" customHeight="false" outlineLevel="0" collapsed="false">
      <c r="A49" s="2" t="s">
        <v>281</v>
      </c>
      <c r="B49" s="2" t="s">
        <v>271</v>
      </c>
      <c r="C49" s="2" t="s">
        <v>278</v>
      </c>
      <c r="D49" s="2" t="s">
        <v>80</v>
      </c>
      <c r="E49" s="2" t="s">
        <v>282</v>
      </c>
      <c r="F49" s="2" t="s">
        <v>17</v>
      </c>
      <c r="G49" s="2" t="s">
        <v>283</v>
      </c>
      <c r="H49" s="2" t="s">
        <v>284</v>
      </c>
      <c r="I49" s="2" t="s">
        <v>285</v>
      </c>
      <c r="J49" s="2" t="s">
        <v>21</v>
      </c>
      <c r="K49" s="2" t="s">
        <v>276</v>
      </c>
      <c r="L49" s="3" t="s">
        <v>23</v>
      </c>
    </row>
    <row r="50" customFormat="false" ht="35.05" hidden="false" customHeight="false" outlineLevel="0" collapsed="false">
      <c r="A50" s="2" t="s">
        <v>286</v>
      </c>
      <c r="B50" s="2" t="s">
        <v>271</v>
      </c>
      <c r="C50" s="2" t="s">
        <v>278</v>
      </c>
      <c r="D50" s="2" t="s">
        <v>80</v>
      </c>
      <c r="E50" s="2" t="s">
        <v>287</v>
      </c>
      <c r="F50" s="2" t="s">
        <v>17</v>
      </c>
      <c r="G50" s="2" t="s">
        <v>288</v>
      </c>
      <c r="H50" s="2" t="s">
        <v>289</v>
      </c>
      <c r="I50" s="2" t="s">
        <v>290</v>
      </c>
      <c r="J50" s="2" t="s">
        <v>21</v>
      </c>
      <c r="K50" s="2" t="s">
        <v>276</v>
      </c>
      <c r="L50" s="3" t="s">
        <v>23</v>
      </c>
    </row>
    <row r="51" customFormat="false" ht="35.05" hidden="false" customHeight="false" outlineLevel="0" collapsed="false">
      <c r="A51" s="2" t="s">
        <v>291</v>
      </c>
      <c r="B51" s="2" t="s">
        <v>271</v>
      </c>
      <c r="C51" s="2" t="s">
        <v>292</v>
      </c>
      <c r="D51" s="2" t="s">
        <v>15</v>
      </c>
      <c r="E51" s="2" t="s">
        <v>293</v>
      </c>
      <c r="F51" s="2" t="s">
        <v>17</v>
      </c>
      <c r="G51" s="2" t="s">
        <v>18</v>
      </c>
      <c r="H51" s="2" t="s">
        <v>253</v>
      </c>
      <c r="I51" s="2" t="s">
        <v>294</v>
      </c>
      <c r="J51" s="2" t="s">
        <v>21</v>
      </c>
      <c r="K51" s="2" t="s">
        <v>276</v>
      </c>
      <c r="L51" s="3" t="s">
        <v>23</v>
      </c>
    </row>
    <row r="52" customFormat="false" ht="35.05" hidden="false" customHeight="false" outlineLevel="0" collapsed="false">
      <c r="A52" s="2" t="s">
        <v>295</v>
      </c>
      <c r="B52" s="2" t="s">
        <v>271</v>
      </c>
      <c r="C52" s="2" t="s">
        <v>296</v>
      </c>
      <c r="D52" s="2" t="s">
        <v>15</v>
      </c>
      <c r="E52" s="2" t="s">
        <v>297</v>
      </c>
      <c r="F52" s="2" t="s">
        <v>17</v>
      </c>
      <c r="G52" s="2" t="s">
        <v>298</v>
      </c>
      <c r="H52" s="2" t="s">
        <v>299</v>
      </c>
      <c r="I52" s="2" t="s">
        <v>300</v>
      </c>
      <c r="J52" s="2" t="s">
        <v>21</v>
      </c>
      <c r="K52" s="2" t="s">
        <v>276</v>
      </c>
      <c r="L52" s="3" t="s">
        <v>23</v>
      </c>
    </row>
    <row r="53" customFormat="false" ht="35.05" hidden="false" customHeight="false" outlineLevel="0" collapsed="false">
      <c r="A53" s="2" t="s">
        <v>301</v>
      </c>
      <c r="B53" s="2" t="s">
        <v>271</v>
      </c>
      <c r="C53" s="2" t="s">
        <v>302</v>
      </c>
      <c r="D53" s="2" t="s">
        <v>25</v>
      </c>
      <c r="E53" s="2" t="s">
        <v>303</v>
      </c>
      <c r="F53" s="2" t="s">
        <v>17</v>
      </c>
      <c r="G53" s="2" t="s">
        <v>304</v>
      </c>
      <c r="H53" s="2" t="s">
        <v>305</v>
      </c>
      <c r="I53" s="2" t="s">
        <v>306</v>
      </c>
      <c r="J53" s="2" t="s">
        <v>21</v>
      </c>
      <c r="K53" s="2" t="s">
        <v>276</v>
      </c>
      <c r="L53" s="3" t="s">
        <v>23</v>
      </c>
    </row>
    <row r="54" customFormat="false" ht="35.05" hidden="false" customHeight="false" outlineLevel="0" collapsed="false">
      <c r="A54" s="2" t="s">
        <v>307</v>
      </c>
      <c r="B54" s="2" t="s">
        <v>271</v>
      </c>
      <c r="C54" s="2" t="s">
        <v>302</v>
      </c>
      <c r="D54" s="2" t="s">
        <v>25</v>
      </c>
      <c r="E54" s="2" t="s">
        <v>308</v>
      </c>
      <c r="F54" s="2" t="s">
        <v>17</v>
      </c>
      <c r="G54" s="2" t="s">
        <v>304</v>
      </c>
      <c r="H54" s="2" t="s">
        <v>305</v>
      </c>
      <c r="I54" s="2" t="s">
        <v>309</v>
      </c>
      <c r="J54" s="2" t="s">
        <v>21</v>
      </c>
      <c r="K54" s="2" t="s">
        <v>276</v>
      </c>
      <c r="L54" s="3" t="s">
        <v>23</v>
      </c>
    </row>
    <row r="55" customFormat="false" ht="35.05" hidden="false" customHeight="false" outlineLevel="0" collapsed="false">
      <c r="A55" s="2" t="s">
        <v>310</v>
      </c>
      <c r="B55" s="2" t="s">
        <v>271</v>
      </c>
      <c r="C55" s="2" t="s">
        <v>302</v>
      </c>
      <c r="D55" s="2" t="s">
        <v>25</v>
      </c>
      <c r="E55" s="2" t="s">
        <v>311</v>
      </c>
      <c r="F55" s="2" t="s">
        <v>17</v>
      </c>
      <c r="G55" s="2" t="s">
        <v>304</v>
      </c>
      <c r="H55" s="2" t="s">
        <v>305</v>
      </c>
      <c r="I55" s="2" t="s">
        <v>312</v>
      </c>
      <c r="J55" s="2" t="s">
        <v>21</v>
      </c>
      <c r="K55" s="2" t="s">
        <v>276</v>
      </c>
      <c r="L55" s="3" t="s">
        <v>23</v>
      </c>
    </row>
    <row r="56" customFormat="false" ht="35.05" hidden="false" customHeight="false" outlineLevel="0" collapsed="false">
      <c r="A56" s="2" t="s">
        <v>313</v>
      </c>
      <c r="B56" s="2" t="s">
        <v>271</v>
      </c>
      <c r="C56" s="2" t="s">
        <v>302</v>
      </c>
      <c r="D56" s="2" t="s">
        <v>25</v>
      </c>
      <c r="E56" s="2" t="s">
        <v>314</v>
      </c>
      <c r="F56" s="2" t="s">
        <v>17</v>
      </c>
      <c r="G56" s="2" t="s">
        <v>304</v>
      </c>
      <c r="H56" s="2" t="s">
        <v>305</v>
      </c>
      <c r="I56" s="2" t="s">
        <v>315</v>
      </c>
      <c r="J56" s="2" t="s">
        <v>21</v>
      </c>
      <c r="K56" s="2" t="s">
        <v>276</v>
      </c>
      <c r="L56" s="3" t="s">
        <v>23</v>
      </c>
    </row>
    <row r="57" customFormat="false" ht="35.05" hidden="false" customHeight="false" outlineLevel="0" collapsed="false">
      <c r="A57" s="2" t="s">
        <v>316</v>
      </c>
      <c r="B57" s="2" t="s">
        <v>271</v>
      </c>
      <c r="C57" s="2" t="s">
        <v>302</v>
      </c>
      <c r="D57" s="2" t="s">
        <v>25</v>
      </c>
      <c r="E57" s="2" t="s">
        <v>317</v>
      </c>
      <c r="F57" s="2" t="s">
        <v>17</v>
      </c>
      <c r="G57" s="2" t="s">
        <v>304</v>
      </c>
      <c r="H57" s="2" t="s">
        <v>305</v>
      </c>
      <c r="I57" s="2" t="s">
        <v>318</v>
      </c>
      <c r="J57" s="2" t="s">
        <v>21</v>
      </c>
      <c r="K57" s="2" t="s">
        <v>276</v>
      </c>
      <c r="L57" s="3" t="s">
        <v>23</v>
      </c>
    </row>
    <row r="58" customFormat="false" ht="35.05" hidden="false" customHeight="false" outlineLevel="0" collapsed="false">
      <c r="A58" s="2" t="s">
        <v>319</v>
      </c>
      <c r="B58" s="2" t="s">
        <v>271</v>
      </c>
      <c r="C58" s="2" t="s">
        <v>302</v>
      </c>
      <c r="D58" s="2" t="s">
        <v>25</v>
      </c>
      <c r="E58" s="2" t="s">
        <v>320</v>
      </c>
      <c r="F58" s="2" t="s">
        <v>17</v>
      </c>
      <c r="G58" s="2" t="s">
        <v>304</v>
      </c>
      <c r="H58" s="2" t="s">
        <v>305</v>
      </c>
      <c r="I58" s="2" t="s">
        <v>321</v>
      </c>
      <c r="J58" s="2" t="s">
        <v>21</v>
      </c>
      <c r="K58" s="2" t="s">
        <v>276</v>
      </c>
      <c r="L58" s="3" t="s">
        <v>23</v>
      </c>
    </row>
    <row r="59" customFormat="false" ht="35.05" hidden="false" customHeight="false" outlineLevel="0" collapsed="false">
      <c r="A59" s="2" t="s">
        <v>322</v>
      </c>
      <c r="B59" s="2" t="s">
        <v>271</v>
      </c>
      <c r="C59" s="2" t="s">
        <v>323</v>
      </c>
      <c r="D59" s="2" t="s">
        <v>25</v>
      </c>
      <c r="E59" s="2" t="s">
        <v>324</v>
      </c>
      <c r="F59" s="2" t="s">
        <v>17</v>
      </c>
      <c r="G59" s="2" t="s">
        <v>304</v>
      </c>
      <c r="H59" s="2" t="s">
        <v>305</v>
      </c>
      <c r="I59" s="2" t="s">
        <v>325</v>
      </c>
      <c r="J59" s="2" t="s">
        <v>21</v>
      </c>
      <c r="K59" s="2" t="s">
        <v>276</v>
      </c>
      <c r="L59" s="3" t="s">
        <v>23</v>
      </c>
    </row>
    <row r="60" customFormat="false" ht="35.05" hidden="false" customHeight="false" outlineLevel="0" collapsed="false">
      <c r="A60" s="2" t="s">
        <v>326</v>
      </c>
      <c r="B60" s="2" t="s">
        <v>271</v>
      </c>
      <c r="C60" s="2" t="s">
        <v>323</v>
      </c>
      <c r="D60" s="2" t="s">
        <v>25</v>
      </c>
      <c r="E60" s="2" t="s">
        <v>327</v>
      </c>
      <c r="F60" s="2" t="s">
        <v>17</v>
      </c>
      <c r="G60" s="2" t="s">
        <v>304</v>
      </c>
      <c r="H60" s="2" t="s">
        <v>305</v>
      </c>
      <c r="I60" s="2" t="s">
        <v>328</v>
      </c>
      <c r="J60" s="2" t="s">
        <v>21</v>
      </c>
      <c r="K60" s="2" t="s">
        <v>276</v>
      </c>
      <c r="L60" s="3" t="s">
        <v>23</v>
      </c>
    </row>
    <row r="61" customFormat="false" ht="35.05" hidden="false" customHeight="false" outlineLevel="0" collapsed="false">
      <c r="A61" s="2" t="s">
        <v>329</v>
      </c>
      <c r="B61" s="2" t="s">
        <v>271</v>
      </c>
      <c r="C61" s="2" t="s">
        <v>330</v>
      </c>
      <c r="D61" s="2" t="s">
        <v>15</v>
      </c>
      <c r="E61" s="2" t="s">
        <v>331</v>
      </c>
      <c r="F61" s="2" t="s">
        <v>17</v>
      </c>
      <c r="G61" s="2" t="s">
        <v>18</v>
      </c>
      <c r="H61" s="2" t="s">
        <v>332</v>
      </c>
      <c r="I61" s="2" t="s">
        <v>333</v>
      </c>
      <c r="J61" s="2" t="s">
        <v>21</v>
      </c>
      <c r="K61" s="2" t="s">
        <v>276</v>
      </c>
      <c r="L61" s="3" t="s">
        <v>23</v>
      </c>
    </row>
    <row r="62" customFormat="false" ht="35.05" hidden="false" customHeight="false" outlineLevel="0" collapsed="false">
      <c r="A62" s="2" t="s">
        <v>334</v>
      </c>
      <c r="B62" s="2" t="s">
        <v>271</v>
      </c>
      <c r="C62" s="2" t="s">
        <v>335</v>
      </c>
      <c r="D62" s="2" t="s">
        <v>15</v>
      </c>
      <c r="E62" s="2" t="s">
        <v>336</v>
      </c>
      <c r="F62" s="2" t="s">
        <v>17</v>
      </c>
      <c r="G62" s="2" t="s">
        <v>337</v>
      </c>
      <c r="H62" s="2" t="s">
        <v>338</v>
      </c>
      <c r="I62" s="2" t="s">
        <v>300</v>
      </c>
      <c r="J62" s="2" t="s">
        <v>21</v>
      </c>
      <c r="K62" s="2" t="s">
        <v>276</v>
      </c>
      <c r="L62" s="3" t="s">
        <v>23</v>
      </c>
    </row>
    <row r="63" customFormat="false" ht="35.05" hidden="false" customHeight="false" outlineLevel="0" collapsed="false">
      <c r="A63" s="2" t="s">
        <v>339</v>
      </c>
      <c r="B63" s="2" t="s">
        <v>340</v>
      </c>
      <c r="C63" s="2" t="s">
        <v>341</v>
      </c>
      <c r="D63" s="2" t="s">
        <v>15</v>
      </c>
      <c r="E63" s="2" t="s">
        <v>342</v>
      </c>
      <c r="F63" s="2" t="s">
        <v>17</v>
      </c>
      <c r="G63" s="2" t="s">
        <v>18</v>
      </c>
      <c r="H63" s="2" t="s">
        <v>343</v>
      </c>
      <c r="I63" s="2" t="s">
        <v>344</v>
      </c>
      <c r="J63" s="2" t="s">
        <v>21</v>
      </c>
      <c r="K63" s="2" t="s">
        <v>345</v>
      </c>
      <c r="L63" s="3" t="s">
        <v>23</v>
      </c>
    </row>
    <row r="64" customFormat="false" ht="35.05" hidden="false" customHeight="false" outlineLevel="0" collapsed="false">
      <c r="A64" s="2" t="s">
        <v>346</v>
      </c>
      <c r="B64" s="2" t="s">
        <v>340</v>
      </c>
      <c r="C64" s="2" t="s">
        <v>347</v>
      </c>
      <c r="D64" s="2" t="s">
        <v>15</v>
      </c>
      <c r="E64" s="2" t="s">
        <v>348</v>
      </c>
      <c r="F64" s="2" t="s">
        <v>17</v>
      </c>
      <c r="G64" s="2" t="s">
        <v>18</v>
      </c>
      <c r="H64" s="2" t="s">
        <v>202</v>
      </c>
      <c r="I64" s="2" t="s">
        <v>349</v>
      </c>
      <c r="J64" s="2" t="s">
        <v>21</v>
      </c>
      <c r="K64" s="2" t="s">
        <v>345</v>
      </c>
      <c r="L64" s="3" t="s">
        <v>23</v>
      </c>
    </row>
    <row r="65" customFormat="false" ht="35.05" hidden="false" customHeight="false" outlineLevel="0" collapsed="false">
      <c r="A65" s="2" t="s">
        <v>350</v>
      </c>
      <c r="B65" s="2" t="s">
        <v>340</v>
      </c>
      <c r="C65" s="2" t="s">
        <v>347</v>
      </c>
      <c r="D65" s="2" t="s">
        <v>80</v>
      </c>
      <c r="E65" s="2" t="s">
        <v>351</v>
      </c>
      <c r="F65" s="2" t="s">
        <v>17</v>
      </c>
      <c r="G65" s="2" t="s">
        <v>352</v>
      </c>
      <c r="H65" s="2" t="s">
        <v>353</v>
      </c>
      <c r="I65" s="2" t="s">
        <v>354</v>
      </c>
      <c r="J65" s="2" t="s">
        <v>21</v>
      </c>
      <c r="K65" s="2" t="s">
        <v>345</v>
      </c>
      <c r="L65" s="3" t="s">
        <v>23</v>
      </c>
    </row>
    <row r="66" customFormat="false" ht="35.05" hidden="false" customHeight="false" outlineLevel="0" collapsed="false">
      <c r="A66" s="2" t="s">
        <v>355</v>
      </c>
      <c r="B66" s="2" t="s">
        <v>356</v>
      </c>
      <c r="C66" s="2" t="s">
        <v>357</v>
      </c>
      <c r="D66" s="2" t="s">
        <v>15</v>
      </c>
      <c r="E66" s="2" t="s">
        <v>358</v>
      </c>
      <c r="F66" s="2" t="s">
        <v>17</v>
      </c>
      <c r="G66" s="2" t="s">
        <v>18</v>
      </c>
      <c r="H66" s="2" t="s">
        <v>359</v>
      </c>
      <c r="I66" s="2" t="s">
        <v>360</v>
      </c>
      <c r="J66" s="2" t="s">
        <v>21</v>
      </c>
      <c r="K66" s="2" t="s">
        <v>361</v>
      </c>
      <c r="L66" s="3" t="s">
        <v>23</v>
      </c>
    </row>
    <row r="67" customFormat="false" ht="35.05" hidden="false" customHeight="false" outlineLevel="0" collapsed="false">
      <c r="A67" s="2" t="s">
        <v>362</v>
      </c>
      <c r="B67" s="2" t="s">
        <v>356</v>
      </c>
      <c r="C67" s="2" t="s">
        <v>357</v>
      </c>
      <c r="D67" s="2" t="s">
        <v>80</v>
      </c>
      <c r="E67" s="2" t="s">
        <v>363</v>
      </c>
      <c r="F67" s="2" t="s">
        <v>17</v>
      </c>
      <c r="G67" s="2" t="s">
        <v>364</v>
      </c>
      <c r="H67" s="2" t="s">
        <v>365</v>
      </c>
      <c r="I67" s="2" t="s">
        <v>366</v>
      </c>
      <c r="J67" s="2" t="s">
        <v>21</v>
      </c>
      <c r="K67" s="2" t="s">
        <v>361</v>
      </c>
      <c r="L67" s="3" t="s">
        <v>23</v>
      </c>
    </row>
    <row r="68" customFormat="false" ht="46.25" hidden="false" customHeight="false" outlineLevel="0" collapsed="false">
      <c r="A68" s="2" t="s">
        <v>367</v>
      </c>
      <c r="B68" s="2" t="s">
        <v>356</v>
      </c>
      <c r="C68" s="2" t="s">
        <v>357</v>
      </c>
      <c r="D68" s="2" t="s">
        <v>25</v>
      </c>
      <c r="E68" s="2" t="s">
        <v>368</v>
      </c>
      <c r="F68" s="2" t="s">
        <v>17</v>
      </c>
      <c r="G68" s="2" t="s">
        <v>364</v>
      </c>
      <c r="H68" s="2" t="s">
        <v>369</v>
      </c>
      <c r="I68" s="2" t="s">
        <v>370</v>
      </c>
      <c r="J68" s="2" t="s">
        <v>21</v>
      </c>
      <c r="K68" s="2" t="s">
        <v>361</v>
      </c>
      <c r="L68" s="3" t="s">
        <v>23</v>
      </c>
    </row>
    <row r="69" customFormat="false" ht="35.05" hidden="false" customHeight="false" outlineLevel="0" collapsed="false">
      <c r="A69" s="2" t="s">
        <v>371</v>
      </c>
      <c r="B69" s="2" t="s">
        <v>356</v>
      </c>
      <c r="C69" s="2" t="s">
        <v>372</v>
      </c>
      <c r="D69" s="2" t="s">
        <v>15</v>
      </c>
      <c r="E69" s="2" t="s">
        <v>373</v>
      </c>
      <c r="F69" s="2" t="s">
        <v>17</v>
      </c>
      <c r="G69" s="2" t="s">
        <v>364</v>
      </c>
      <c r="H69" s="2" t="s">
        <v>374</v>
      </c>
      <c r="I69" s="2" t="s">
        <v>375</v>
      </c>
      <c r="J69" s="2" t="s">
        <v>21</v>
      </c>
      <c r="K69" s="2" t="s">
        <v>361</v>
      </c>
      <c r="L69" s="3" t="s">
        <v>23</v>
      </c>
    </row>
    <row r="70" customFormat="false" ht="35.05" hidden="false" customHeight="false" outlineLevel="0" collapsed="false">
      <c r="A70" s="2" t="s">
        <v>376</v>
      </c>
      <c r="B70" s="2" t="s">
        <v>377</v>
      </c>
      <c r="C70" s="2" t="s">
        <v>378</v>
      </c>
      <c r="D70" s="2" t="s">
        <v>15</v>
      </c>
      <c r="E70" s="2" t="s">
        <v>379</v>
      </c>
      <c r="F70" s="2" t="s">
        <v>17</v>
      </c>
      <c r="G70" s="2" t="s">
        <v>18</v>
      </c>
      <c r="H70" s="2" t="s">
        <v>380</v>
      </c>
      <c r="I70" s="2" t="s">
        <v>381</v>
      </c>
      <c r="J70" s="2" t="s">
        <v>21</v>
      </c>
      <c r="K70" s="2" t="s">
        <v>382</v>
      </c>
      <c r="L70" s="3" t="s">
        <v>23</v>
      </c>
    </row>
    <row r="71" customFormat="false" ht="35.05" hidden="false" customHeight="false" outlineLevel="0" collapsed="false">
      <c r="A71" s="2" t="s">
        <v>383</v>
      </c>
      <c r="B71" s="2" t="s">
        <v>377</v>
      </c>
      <c r="C71" s="2" t="s">
        <v>384</v>
      </c>
      <c r="D71" s="2" t="s">
        <v>25</v>
      </c>
      <c r="E71" s="2" t="s">
        <v>385</v>
      </c>
      <c r="F71" s="2" t="s">
        <v>17</v>
      </c>
      <c r="G71" s="2" t="s">
        <v>18</v>
      </c>
      <c r="H71" s="2" t="s">
        <v>386</v>
      </c>
      <c r="I71" s="2" t="s">
        <v>387</v>
      </c>
      <c r="J71" s="2" t="s">
        <v>21</v>
      </c>
      <c r="K71" s="2" t="s">
        <v>382</v>
      </c>
      <c r="L71" s="3" t="s">
        <v>23</v>
      </c>
    </row>
    <row r="72" customFormat="false" ht="35.05" hidden="false" customHeight="false" outlineLevel="0" collapsed="false">
      <c r="A72" s="2" t="s">
        <v>388</v>
      </c>
      <c r="B72" s="2" t="s">
        <v>389</v>
      </c>
      <c r="C72" s="2" t="s">
        <v>390</v>
      </c>
      <c r="D72" s="2" t="s">
        <v>25</v>
      </c>
      <c r="E72" s="2" t="s">
        <v>391</v>
      </c>
      <c r="F72" s="2" t="s">
        <v>17</v>
      </c>
      <c r="G72" s="2" t="s">
        <v>18</v>
      </c>
      <c r="H72" s="2" t="s">
        <v>202</v>
      </c>
      <c r="I72" s="2" t="s">
        <v>392</v>
      </c>
      <c r="J72" s="2" t="s">
        <v>137</v>
      </c>
      <c r="K72" s="2" t="s">
        <v>393</v>
      </c>
      <c r="L72" s="3" t="s">
        <v>23</v>
      </c>
    </row>
    <row r="73" customFormat="false" ht="46.25" hidden="false" customHeight="false" outlineLevel="0" collapsed="false">
      <c r="A73" s="2" t="s">
        <v>394</v>
      </c>
      <c r="B73" s="2" t="s">
        <v>395</v>
      </c>
      <c r="C73" s="2" t="s">
        <v>396</v>
      </c>
      <c r="D73" s="2" t="s">
        <v>15</v>
      </c>
      <c r="E73" s="2" t="s">
        <v>397</v>
      </c>
      <c r="F73" s="2" t="s">
        <v>190</v>
      </c>
      <c r="G73" s="2" t="s">
        <v>18</v>
      </c>
      <c r="H73" s="2" t="s">
        <v>398</v>
      </c>
      <c r="I73" s="2" t="s">
        <v>399</v>
      </c>
      <c r="J73" s="2" t="s">
        <v>21</v>
      </c>
      <c r="K73" s="2" t="s">
        <v>400</v>
      </c>
      <c r="L73" s="3" t="s">
        <v>23</v>
      </c>
    </row>
    <row r="74" customFormat="false" ht="35.05" hidden="false" customHeight="false" outlineLevel="0" collapsed="false">
      <c r="A74" s="2" t="s">
        <v>401</v>
      </c>
      <c r="B74" s="2" t="s">
        <v>395</v>
      </c>
      <c r="C74" s="2" t="s">
        <v>396</v>
      </c>
      <c r="D74" s="2" t="s">
        <v>15</v>
      </c>
      <c r="E74" s="2" t="s">
        <v>402</v>
      </c>
      <c r="F74" s="2" t="s">
        <v>17</v>
      </c>
      <c r="G74" s="2" t="s">
        <v>403</v>
      </c>
      <c r="H74" s="2" t="s">
        <v>404</v>
      </c>
      <c r="I74" s="2" t="s">
        <v>405</v>
      </c>
      <c r="J74" s="2" t="s">
        <v>21</v>
      </c>
      <c r="K74" s="2" t="s">
        <v>406</v>
      </c>
      <c r="L74" s="3" t="s">
        <v>23</v>
      </c>
    </row>
    <row r="75" customFormat="false" ht="35.05" hidden="false" customHeight="false" outlineLevel="0" collapsed="false">
      <c r="A75" s="2" t="s">
        <v>407</v>
      </c>
      <c r="B75" s="2" t="s">
        <v>395</v>
      </c>
      <c r="C75" s="2" t="s">
        <v>396</v>
      </c>
      <c r="D75" s="2" t="s">
        <v>80</v>
      </c>
      <c r="E75" s="2" t="s">
        <v>408</v>
      </c>
      <c r="F75" s="2" t="s">
        <v>17</v>
      </c>
      <c r="G75" s="2" t="s">
        <v>409</v>
      </c>
      <c r="H75" s="2" t="s">
        <v>410</v>
      </c>
      <c r="I75" s="2" t="s">
        <v>411</v>
      </c>
      <c r="J75" s="2" t="s">
        <v>21</v>
      </c>
      <c r="K75" s="2" t="s">
        <v>400</v>
      </c>
      <c r="L75" s="3" t="s">
        <v>23</v>
      </c>
    </row>
    <row r="76" customFormat="false" ht="35.05" hidden="false" customHeight="false" outlineLevel="0" collapsed="false">
      <c r="A76" s="2" t="s">
        <v>412</v>
      </c>
      <c r="B76" s="2" t="s">
        <v>395</v>
      </c>
      <c r="C76" s="2" t="s">
        <v>396</v>
      </c>
      <c r="D76" s="2" t="s">
        <v>80</v>
      </c>
      <c r="E76" s="2" t="s">
        <v>413</v>
      </c>
      <c r="F76" s="2" t="s">
        <v>17</v>
      </c>
      <c r="G76" s="2" t="s">
        <v>414</v>
      </c>
      <c r="H76" s="2" t="s">
        <v>415</v>
      </c>
      <c r="I76" s="2" t="s">
        <v>416</v>
      </c>
      <c r="J76" s="2" t="s">
        <v>21</v>
      </c>
      <c r="K76" s="2" t="s">
        <v>417</v>
      </c>
      <c r="L76" s="3" t="s">
        <v>23</v>
      </c>
    </row>
    <row r="77" customFormat="false" ht="35.05" hidden="false" customHeight="false" outlineLevel="0" collapsed="false">
      <c r="A77" s="2" t="s">
        <v>418</v>
      </c>
      <c r="B77" s="2" t="s">
        <v>395</v>
      </c>
      <c r="C77" s="2" t="s">
        <v>396</v>
      </c>
      <c r="D77" s="2" t="s">
        <v>80</v>
      </c>
      <c r="E77" s="2" t="s">
        <v>419</v>
      </c>
      <c r="F77" s="2" t="s">
        <v>17</v>
      </c>
      <c r="G77" s="2" t="s">
        <v>420</v>
      </c>
      <c r="H77" s="2" t="s">
        <v>421</v>
      </c>
      <c r="I77" s="2" t="s">
        <v>422</v>
      </c>
      <c r="J77" s="2" t="s">
        <v>21</v>
      </c>
      <c r="K77" s="2" t="s">
        <v>423</v>
      </c>
      <c r="L77" s="3" t="s">
        <v>23</v>
      </c>
    </row>
    <row r="78" customFormat="false" ht="46.25" hidden="false" customHeight="false" outlineLevel="0" collapsed="false">
      <c r="A78" s="2" t="s">
        <v>424</v>
      </c>
      <c r="B78" s="2" t="s">
        <v>395</v>
      </c>
      <c r="C78" s="2" t="s">
        <v>425</v>
      </c>
      <c r="D78" s="2" t="s">
        <v>15</v>
      </c>
      <c r="E78" s="2" t="s">
        <v>426</v>
      </c>
      <c r="F78" s="2" t="s">
        <v>190</v>
      </c>
      <c r="G78" s="2" t="s">
        <v>18</v>
      </c>
      <c r="H78" s="2" t="s">
        <v>427</v>
      </c>
      <c r="I78" s="2" t="s">
        <v>428</v>
      </c>
      <c r="J78" s="2" t="s">
        <v>21</v>
      </c>
      <c r="K78" s="2" t="s">
        <v>429</v>
      </c>
      <c r="L78" s="3" t="s">
        <v>23</v>
      </c>
    </row>
    <row r="79" customFormat="false" ht="35.05" hidden="false" customHeight="false" outlineLevel="0" collapsed="false">
      <c r="A79" s="2" t="s">
        <v>430</v>
      </c>
      <c r="B79" s="2" t="s">
        <v>395</v>
      </c>
      <c r="C79" s="2" t="s">
        <v>425</v>
      </c>
      <c r="D79" s="2" t="s">
        <v>80</v>
      </c>
      <c r="E79" s="2" t="s">
        <v>431</v>
      </c>
      <c r="F79" s="2" t="s">
        <v>17</v>
      </c>
      <c r="G79" s="2" t="s">
        <v>432</v>
      </c>
      <c r="H79" s="2" t="s">
        <v>433</v>
      </c>
      <c r="I79" s="2" t="s">
        <v>300</v>
      </c>
      <c r="J79" s="2" t="s">
        <v>21</v>
      </c>
      <c r="K79" s="2" t="s">
        <v>434</v>
      </c>
      <c r="L79" s="3" t="s">
        <v>23</v>
      </c>
    </row>
    <row r="80" customFormat="false" ht="46.25" hidden="false" customHeight="false" outlineLevel="0" collapsed="false">
      <c r="A80" s="2" t="s">
        <v>435</v>
      </c>
      <c r="B80" s="2" t="s">
        <v>395</v>
      </c>
      <c r="C80" s="2" t="s">
        <v>436</v>
      </c>
      <c r="D80" s="2" t="s">
        <v>15</v>
      </c>
      <c r="E80" s="2" t="s">
        <v>437</v>
      </c>
      <c r="F80" s="2" t="s">
        <v>190</v>
      </c>
      <c r="G80" s="2" t="s">
        <v>18</v>
      </c>
      <c r="H80" s="2" t="s">
        <v>438</v>
      </c>
      <c r="I80" s="2" t="s">
        <v>439</v>
      </c>
      <c r="J80" s="2" t="s">
        <v>21</v>
      </c>
      <c r="K80" s="2" t="s">
        <v>400</v>
      </c>
      <c r="L80" s="3" t="s">
        <v>23</v>
      </c>
    </row>
    <row r="81" customFormat="false" ht="35.05" hidden="false" customHeight="false" outlineLevel="0" collapsed="false">
      <c r="A81" s="2" t="s">
        <v>440</v>
      </c>
      <c r="B81" s="2" t="s">
        <v>441</v>
      </c>
      <c r="C81" s="2" t="s">
        <v>442</v>
      </c>
      <c r="D81" s="2" t="s">
        <v>15</v>
      </c>
      <c r="E81" s="2" t="s">
        <v>443</v>
      </c>
      <c r="F81" s="2" t="s">
        <v>17</v>
      </c>
      <c r="G81" s="2" t="s">
        <v>18</v>
      </c>
      <c r="H81" s="2" t="s">
        <v>444</v>
      </c>
      <c r="I81" s="2" t="s">
        <v>445</v>
      </c>
      <c r="J81" s="2" t="s">
        <v>21</v>
      </c>
      <c r="K81" s="2" t="s">
        <v>446</v>
      </c>
      <c r="L81" s="3" t="s">
        <v>23</v>
      </c>
    </row>
    <row r="82" customFormat="false" ht="35.05" hidden="false" customHeight="false" outlineLevel="0" collapsed="false">
      <c r="A82" s="2" t="s">
        <v>447</v>
      </c>
      <c r="B82" s="2" t="s">
        <v>441</v>
      </c>
      <c r="C82" s="2" t="s">
        <v>442</v>
      </c>
      <c r="D82" s="2" t="s">
        <v>80</v>
      </c>
      <c r="E82" s="2" t="s">
        <v>448</v>
      </c>
      <c r="F82" s="2" t="s">
        <v>17</v>
      </c>
      <c r="G82" s="2" t="s">
        <v>449</v>
      </c>
      <c r="H82" s="2" t="s">
        <v>450</v>
      </c>
      <c r="I82" s="2" t="s">
        <v>451</v>
      </c>
      <c r="J82" s="2" t="s">
        <v>21</v>
      </c>
      <c r="K82" s="2" t="s">
        <v>446</v>
      </c>
      <c r="L82" s="3" t="s">
        <v>23</v>
      </c>
    </row>
    <row r="83" customFormat="false" ht="35.05" hidden="false" customHeight="false" outlineLevel="0" collapsed="false">
      <c r="A83" s="2" t="s">
        <v>452</v>
      </c>
      <c r="B83" s="2" t="s">
        <v>441</v>
      </c>
      <c r="C83" s="2" t="s">
        <v>442</v>
      </c>
      <c r="D83" s="2" t="s">
        <v>80</v>
      </c>
      <c r="E83" s="2" t="s">
        <v>453</v>
      </c>
      <c r="F83" s="2" t="s">
        <v>17</v>
      </c>
      <c r="G83" s="2" t="s">
        <v>454</v>
      </c>
      <c r="H83" s="2" t="s">
        <v>455</v>
      </c>
      <c r="I83" s="2" t="s">
        <v>456</v>
      </c>
      <c r="J83" s="2" t="s">
        <v>21</v>
      </c>
      <c r="K83" s="2" t="s">
        <v>446</v>
      </c>
      <c r="L83" s="3" t="s">
        <v>23</v>
      </c>
    </row>
    <row r="84" customFormat="false" ht="35.05" hidden="false" customHeight="false" outlineLevel="0" collapsed="false">
      <c r="A84" s="2" t="s">
        <v>457</v>
      </c>
      <c r="B84" s="2" t="s">
        <v>441</v>
      </c>
      <c r="C84" s="2" t="s">
        <v>458</v>
      </c>
      <c r="D84" s="2" t="s">
        <v>25</v>
      </c>
      <c r="E84" s="2" t="s">
        <v>459</v>
      </c>
      <c r="F84" s="2" t="s">
        <v>17</v>
      </c>
      <c r="G84" s="2" t="s">
        <v>18</v>
      </c>
      <c r="H84" s="2" t="s">
        <v>460</v>
      </c>
      <c r="I84" s="2" t="s">
        <v>461</v>
      </c>
      <c r="J84" s="2" t="s">
        <v>21</v>
      </c>
      <c r="K84" s="2" t="s">
        <v>462</v>
      </c>
      <c r="L84" s="3" t="s">
        <v>23</v>
      </c>
    </row>
    <row r="85" customFormat="false" ht="35.05" hidden="false" customHeight="false" outlineLevel="0" collapsed="false">
      <c r="A85" s="2" t="s">
        <v>463</v>
      </c>
      <c r="B85" s="2" t="s">
        <v>441</v>
      </c>
      <c r="C85" s="2" t="s">
        <v>458</v>
      </c>
      <c r="D85" s="2" t="s">
        <v>25</v>
      </c>
      <c r="E85" s="2" t="s">
        <v>464</v>
      </c>
      <c r="F85" s="2" t="s">
        <v>17</v>
      </c>
      <c r="G85" s="2" t="s">
        <v>465</v>
      </c>
      <c r="H85" s="2" t="s">
        <v>466</v>
      </c>
      <c r="I85" s="2" t="s">
        <v>467</v>
      </c>
      <c r="J85" s="2" t="s">
        <v>21</v>
      </c>
      <c r="K85" s="2" t="s">
        <v>468</v>
      </c>
      <c r="L85" s="3" t="s">
        <v>23</v>
      </c>
    </row>
    <row r="86" customFormat="false" ht="35.05" hidden="false" customHeight="false" outlineLevel="0" collapsed="false">
      <c r="A86" s="2" t="s">
        <v>469</v>
      </c>
      <c r="B86" s="2" t="s">
        <v>441</v>
      </c>
      <c r="C86" s="2" t="s">
        <v>458</v>
      </c>
      <c r="D86" s="2" t="s">
        <v>25</v>
      </c>
      <c r="E86" s="2" t="s">
        <v>470</v>
      </c>
      <c r="F86" s="2" t="s">
        <v>17</v>
      </c>
      <c r="G86" s="2" t="s">
        <v>471</v>
      </c>
      <c r="H86" s="2" t="s">
        <v>472</v>
      </c>
      <c r="I86" s="2" t="s">
        <v>473</v>
      </c>
      <c r="J86" s="2" t="s">
        <v>21</v>
      </c>
      <c r="K86" s="2" t="s">
        <v>474</v>
      </c>
      <c r="L86" s="3" t="s">
        <v>23</v>
      </c>
    </row>
    <row r="87" customFormat="false" ht="35.05" hidden="false" customHeight="false" outlineLevel="0" collapsed="false">
      <c r="A87" s="2" t="s">
        <v>475</v>
      </c>
      <c r="B87" s="2" t="s">
        <v>476</v>
      </c>
      <c r="C87" s="2" t="s">
        <v>477</v>
      </c>
      <c r="D87" s="2" t="s">
        <v>15</v>
      </c>
      <c r="E87" s="2" t="s">
        <v>478</v>
      </c>
      <c r="F87" s="2" t="s">
        <v>17</v>
      </c>
      <c r="G87" s="2" t="s">
        <v>18</v>
      </c>
      <c r="H87" s="2" t="s">
        <v>479</v>
      </c>
      <c r="I87" s="2" t="s">
        <v>480</v>
      </c>
      <c r="J87" s="2" t="s">
        <v>21</v>
      </c>
      <c r="K87" s="2" t="s">
        <v>481</v>
      </c>
      <c r="L87" s="3" t="s">
        <v>23</v>
      </c>
    </row>
    <row r="88" customFormat="false" ht="35.05" hidden="false" customHeight="false" outlineLevel="0" collapsed="false">
      <c r="A88" s="2" t="s">
        <v>482</v>
      </c>
      <c r="B88" s="2" t="s">
        <v>476</v>
      </c>
      <c r="C88" s="2" t="s">
        <v>483</v>
      </c>
      <c r="D88" s="2" t="s">
        <v>15</v>
      </c>
      <c r="E88" s="2" t="s">
        <v>484</v>
      </c>
      <c r="F88" s="2" t="s">
        <v>17</v>
      </c>
      <c r="G88" s="2" t="s">
        <v>18</v>
      </c>
      <c r="H88" s="2" t="s">
        <v>485</v>
      </c>
      <c r="I88" s="2" t="s">
        <v>486</v>
      </c>
      <c r="J88" s="2" t="s">
        <v>21</v>
      </c>
      <c r="K88" s="2" t="s">
        <v>481</v>
      </c>
      <c r="L88" s="3" t="s">
        <v>23</v>
      </c>
    </row>
    <row r="89" customFormat="false" ht="35.05" hidden="false" customHeight="false" outlineLevel="0" collapsed="false">
      <c r="A89" s="2" t="s">
        <v>487</v>
      </c>
      <c r="B89" s="2" t="s">
        <v>476</v>
      </c>
      <c r="C89" s="2" t="s">
        <v>488</v>
      </c>
      <c r="D89" s="2" t="s">
        <v>80</v>
      </c>
      <c r="E89" s="2" t="s">
        <v>489</v>
      </c>
      <c r="F89" s="2" t="s">
        <v>17</v>
      </c>
      <c r="G89" s="2" t="s">
        <v>490</v>
      </c>
      <c r="H89" s="2" t="s">
        <v>491</v>
      </c>
      <c r="I89" s="2" t="s">
        <v>492</v>
      </c>
      <c r="J89" s="2" t="s">
        <v>21</v>
      </c>
      <c r="K89" s="2" t="s">
        <v>481</v>
      </c>
      <c r="L89" s="3" t="s">
        <v>23</v>
      </c>
    </row>
    <row r="90" customFormat="false" ht="35.05" hidden="false" customHeight="false" outlineLevel="0" collapsed="false">
      <c r="A90" s="2" t="s">
        <v>493</v>
      </c>
      <c r="B90" s="2" t="s">
        <v>476</v>
      </c>
      <c r="C90" s="2" t="s">
        <v>488</v>
      </c>
      <c r="D90" s="2" t="s">
        <v>80</v>
      </c>
      <c r="E90" s="2" t="s">
        <v>494</v>
      </c>
      <c r="F90" s="2" t="s">
        <v>17</v>
      </c>
      <c r="G90" s="2" t="s">
        <v>495</v>
      </c>
      <c r="H90" s="2" t="s">
        <v>496</v>
      </c>
      <c r="I90" s="2" t="s">
        <v>497</v>
      </c>
      <c r="J90" s="2" t="s">
        <v>21</v>
      </c>
      <c r="K90" s="2" t="s">
        <v>474</v>
      </c>
      <c r="L90" s="3" t="s">
        <v>23</v>
      </c>
    </row>
    <row r="91" customFormat="false" ht="35.05" hidden="false" customHeight="false" outlineLevel="0" collapsed="false">
      <c r="A91" s="2" t="s">
        <v>498</v>
      </c>
      <c r="B91" s="2" t="s">
        <v>476</v>
      </c>
      <c r="C91" s="2" t="s">
        <v>488</v>
      </c>
      <c r="D91" s="2" t="s">
        <v>25</v>
      </c>
      <c r="E91" s="2" t="s">
        <v>499</v>
      </c>
      <c r="F91" s="2" t="s">
        <v>17</v>
      </c>
      <c r="G91" s="2" t="s">
        <v>500</v>
      </c>
      <c r="H91" s="2" t="s">
        <v>501</v>
      </c>
      <c r="I91" s="2" t="s">
        <v>502</v>
      </c>
      <c r="J91" s="2" t="s">
        <v>21</v>
      </c>
      <c r="K91" s="2" t="s">
        <v>503</v>
      </c>
      <c r="L91" s="3" t="s">
        <v>23</v>
      </c>
    </row>
    <row r="92" customFormat="false" ht="35.05" hidden="false" customHeight="false" outlineLevel="0" collapsed="false">
      <c r="A92" s="2" t="s">
        <v>504</v>
      </c>
      <c r="B92" s="2" t="s">
        <v>476</v>
      </c>
      <c r="C92" s="2" t="s">
        <v>505</v>
      </c>
      <c r="D92" s="2" t="s">
        <v>80</v>
      </c>
      <c r="E92" s="2" t="s">
        <v>506</v>
      </c>
      <c r="F92" s="2" t="s">
        <v>17</v>
      </c>
      <c r="G92" s="2" t="s">
        <v>507</v>
      </c>
      <c r="H92" s="2" t="s">
        <v>508</v>
      </c>
      <c r="I92" s="2" t="s">
        <v>509</v>
      </c>
      <c r="J92" s="2" t="s">
        <v>21</v>
      </c>
      <c r="K92" s="2" t="s">
        <v>481</v>
      </c>
      <c r="L92" s="3" t="s">
        <v>23</v>
      </c>
    </row>
    <row r="93" customFormat="false" ht="35.05" hidden="false" customHeight="false" outlineLevel="0" collapsed="false">
      <c r="A93" s="2" t="s">
        <v>510</v>
      </c>
      <c r="B93" s="2" t="s">
        <v>511</v>
      </c>
      <c r="C93" s="2" t="s">
        <v>512</v>
      </c>
      <c r="D93" s="2" t="s">
        <v>80</v>
      </c>
      <c r="E93" s="2" t="s">
        <v>513</v>
      </c>
      <c r="F93" s="2" t="s">
        <v>17</v>
      </c>
      <c r="G93" s="2" t="s">
        <v>514</v>
      </c>
      <c r="H93" s="2" t="s">
        <v>515</v>
      </c>
      <c r="I93" s="2" t="s">
        <v>516</v>
      </c>
      <c r="J93" s="2" t="s">
        <v>21</v>
      </c>
      <c r="K93" s="2" t="s">
        <v>517</v>
      </c>
      <c r="L93" s="3" t="s">
        <v>23</v>
      </c>
    </row>
    <row r="94" customFormat="false" ht="35.05" hidden="false" customHeight="false" outlineLevel="0" collapsed="false">
      <c r="A94" s="2" t="s">
        <v>518</v>
      </c>
      <c r="B94" s="2" t="s">
        <v>511</v>
      </c>
      <c r="C94" s="2" t="s">
        <v>512</v>
      </c>
      <c r="D94" s="2" t="s">
        <v>80</v>
      </c>
      <c r="E94" s="2" t="s">
        <v>519</v>
      </c>
      <c r="F94" s="2" t="s">
        <v>17</v>
      </c>
      <c r="G94" s="2" t="s">
        <v>520</v>
      </c>
      <c r="H94" s="2" t="s">
        <v>521</v>
      </c>
      <c r="I94" s="2" t="s">
        <v>522</v>
      </c>
      <c r="J94" s="2" t="s">
        <v>21</v>
      </c>
      <c r="K94" s="2" t="s">
        <v>517</v>
      </c>
      <c r="L94" s="3" t="s">
        <v>23</v>
      </c>
    </row>
    <row r="95" customFormat="false" ht="35.05" hidden="false" customHeight="false" outlineLevel="0" collapsed="false">
      <c r="A95" s="2" t="s">
        <v>523</v>
      </c>
      <c r="B95" s="2" t="s">
        <v>511</v>
      </c>
      <c r="C95" s="2" t="s">
        <v>524</v>
      </c>
      <c r="D95" s="2" t="s">
        <v>80</v>
      </c>
      <c r="E95" s="2" t="s">
        <v>525</v>
      </c>
      <c r="F95" s="2" t="s">
        <v>17</v>
      </c>
      <c r="G95" s="2" t="s">
        <v>526</v>
      </c>
      <c r="H95" s="2" t="s">
        <v>527</v>
      </c>
      <c r="I95" s="2" t="s">
        <v>528</v>
      </c>
      <c r="J95" s="2" t="s">
        <v>21</v>
      </c>
      <c r="K95" s="2" t="s">
        <v>517</v>
      </c>
      <c r="L95" s="3" t="s">
        <v>23</v>
      </c>
    </row>
    <row r="96" customFormat="false" ht="35.05" hidden="false" customHeight="false" outlineLevel="0" collapsed="false">
      <c r="A96" s="2" t="s">
        <v>529</v>
      </c>
      <c r="B96" s="2" t="s">
        <v>511</v>
      </c>
      <c r="C96" s="2" t="s">
        <v>524</v>
      </c>
      <c r="D96" s="2" t="s">
        <v>80</v>
      </c>
      <c r="E96" s="2" t="s">
        <v>530</v>
      </c>
      <c r="F96" s="2" t="s">
        <v>17</v>
      </c>
      <c r="G96" s="2" t="s">
        <v>531</v>
      </c>
      <c r="H96" s="2" t="s">
        <v>532</v>
      </c>
      <c r="I96" s="2" t="s">
        <v>533</v>
      </c>
      <c r="J96" s="2" t="s">
        <v>21</v>
      </c>
      <c r="K96" s="2" t="s">
        <v>517</v>
      </c>
      <c r="L96" s="3" t="s">
        <v>23</v>
      </c>
    </row>
    <row r="97" customFormat="false" ht="35.05" hidden="false" customHeight="false" outlineLevel="0" collapsed="false">
      <c r="A97" s="2" t="s">
        <v>534</v>
      </c>
      <c r="B97" s="2" t="s">
        <v>511</v>
      </c>
      <c r="C97" s="2" t="s">
        <v>535</v>
      </c>
      <c r="D97" s="2" t="s">
        <v>80</v>
      </c>
      <c r="E97" s="2" t="s">
        <v>536</v>
      </c>
      <c r="F97" s="2" t="s">
        <v>17</v>
      </c>
      <c r="G97" s="2" t="s">
        <v>537</v>
      </c>
      <c r="H97" s="2" t="s">
        <v>538</v>
      </c>
      <c r="I97" s="2" t="s">
        <v>539</v>
      </c>
      <c r="J97" s="2" t="s">
        <v>21</v>
      </c>
      <c r="K97" s="2" t="s">
        <v>517</v>
      </c>
      <c r="L97" s="3" t="s">
        <v>23</v>
      </c>
    </row>
    <row r="98" customFormat="false" ht="35.05" hidden="false" customHeight="false" outlineLevel="0" collapsed="false">
      <c r="A98" s="2" t="s">
        <v>540</v>
      </c>
      <c r="B98" s="2" t="s">
        <v>511</v>
      </c>
      <c r="C98" s="2" t="s">
        <v>535</v>
      </c>
      <c r="D98" s="2" t="s">
        <v>80</v>
      </c>
      <c r="E98" s="2" t="s">
        <v>541</v>
      </c>
      <c r="F98" s="2" t="s">
        <v>17</v>
      </c>
      <c r="G98" s="2" t="s">
        <v>542</v>
      </c>
      <c r="H98" s="2" t="s">
        <v>543</v>
      </c>
      <c r="I98" s="2" t="s">
        <v>544</v>
      </c>
      <c r="J98" s="2" t="s">
        <v>21</v>
      </c>
      <c r="K98" s="2" t="s">
        <v>517</v>
      </c>
      <c r="L98" s="3" t="s">
        <v>23</v>
      </c>
    </row>
    <row r="99" customFormat="false" ht="35.05" hidden="false" customHeight="false" outlineLevel="0" collapsed="false">
      <c r="A99" s="2" t="s">
        <v>545</v>
      </c>
      <c r="B99" s="2" t="s">
        <v>511</v>
      </c>
      <c r="C99" s="2" t="s">
        <v>546</v>
      </c>
      <c r="D99" s="2" t="s">
        <v>80</v>
      </c>
      <c r="E99" s="2" t="s">
        <v>547</v>
      </c>
      <c r="F99" s="2" t="s">
        <v>17</v>
      </c>
      <c r="G99" s="2" t="s">
        <v>548</v>
      </c>
      <c r="H99" s="2" t="s">
        <v>549</v>
      </c>
      <c r="I99" s="2" t="s">
        <v>550</v>
      </c>
      <c r="J99" s="2" t="s">
        <v>21</v>
      </c>
      <c r="K99" s="2" t="s">
        <v>517</v>
      </c>
      <c r="L99" s="3" t="s">
        <v>23</v>
      </c>
    </row>
    <row r="100" customFormat="false" ht="35.05" hidden="false" customHeight="false" outlineLevel="0" collapsed="false">
      <c r="A100" s="2" t="s">
        <v>551</v>
      </c>
      <c r="B100" s="2" t="s">
        <v>511</v>
      </c>
      <c r="C100" s="2" t="s">
        <v>552</v>
      </c>
      <c r="D100" s="2" t="s">
        <v>80</v>
      </c>
      <c r="E100" s="2" t="s">
        <v>553</v>
      </c>
      <c r="F100" s="2" t="s">
        <v>17</v>
      </c>
      <c r="G100" s="2" t="s">
        <v>554</v>
      </c>
      <c r="H100" s="2" t="s">
        <v>555</v>
      </c>
      <c r="I100" s="2" t="s">
        <v>556</v>
      </c>
      <c r="J100" s="2" t="s">
        <v>21</v>
      </c>
      <c r="K100" s="2" t="s">
        <v>517</v>
      </c>
      <c r="L100" s="3" t="s">
        <v>23</v>
      </c>
    </row>
    <row r="101" customFormat="false" ht="35.05" hidden="false" customHeight="false" outlineLevel="0" collapsed="false">
      <c r="A101" s="2" t="s">
        <v>557</v>
      </c>
      <c r="B101" s="2" t="s">
        <v>511</v>
      </c>
      <c r="C101" s="2" t="s">
        <v>552</v>
      </c>
      <c r="D101" s="2" t="s">
        <v>80</v>
      </c>
      <c r="E101" s="2" t="s">
        <v>558</v>
      </c>
      <c r="F101" s="2" t="s">
        <v>17</v>
      </c>
      <c r="G101" s="2" t="s">
        <v>559</v>
      </c>
      <c r="H101" s="2" t="s">
        <v>560</v>
      </c>
      <c r="I101" s="2" t="s">
        <v>561</v>
      </c>
      <c r="J101" s="2" t="s">
        <v>21</v>
      </c>
      <c r="K101" s="2" t="s">
        <v>517</v>
      </c>
      <c r="L101" s="3" t="s">
        <v>23</v>
      </c>
    </row>
    <row r="102" customFormat="false" ht="35.05" hidden="false" customHeight="false" outlineLevel="0" collapsed="false">
      <c r="A102" s="2" t="s">
        <v>562</v>
      </c>
      <c r="B102" s="2" t="s">
        <v>511</v>
      </c>
      <c r="C102" s="2" t="s">
        <v>563</v>
      </c>
      <c r="D102" s="2" t="s">
        <v>80</v>
      </c>
      <c r="E102" s="2" t="s">
        <v>564</v>
      </c>
      <c r="F102" s="2" t="s">
        <v>17</v>
      </c>
      <c r="G102" s="2" t="s">
        <v>565</v>
      </c>
      <c r="H102" s="2" t="s">
        <v>566</v>
      </c>
      <c r="I102" s="2" t="s">
        <v>567</v>
      </c>
      <c r="J102" s="2" t="s">
        <v>21</v>
      </c>
      <c r="K102" s="2" t="s">
        <v>517</v>
      </c>
      <c r="L102" s="3" t="s">
        <v>23</v>
      </c>
    </row>
    <row r="103" customFormat="false" ht="35.05" hidden="false" customHeight="false" outlineLevel="0" collapsed="false">
      <c r="A103" s="2" t="s">
        <v>568</v>
      </c>
      <c r="B103" s="2" t="s">
        <v>511</v>
      </c>
      <c r="C103" s="2" t="s">
        <v>569</v>
      </c>
      <c r="D103" s="2" t="s">
        <v>80</v>
      </c>
      <c r="E103" s="2" t="s">
        <v>570</v>
      </c>
      <c r="F103" s="2" t="s">
        <v>17</v>
      </c>
      <c r="G103" s="2" t="s">
        <v>571</v>
      </c>
      <c r="H103" s="2" t="s">
        <v>572</v>
      </c>
      <c r="I103" s="2" t="s">
        <v>573</v>
      </c>
      <c r="J103" s="2" t="s">
        <v>21</v>
      </c>
      <c r="K103" s="2" t="s">
        <v>517</v>
      </c>
      <c r="L103" s="3" t="s">
        <v>23</v>
      </c>
    </row>
    <row r="104" customFormat="false" ht="35.05" hidden="false" customHeight="false" outlineLevel="0" collapsed="false">
      <c r="A104" s="2" t="s">
        <v>574</v>
      </c>
      <c r="B104" s="2" t="s">
        <v>511</v>
      </c>
      <c r="C104" s="2" t="s">
        <v>569</v>
      </c>
      <c r="D104" s="2" t="s">
        <v>80</v>
      </c>
      <c r="E104" s="2" t="s">
        <v>575</v>
      </c>
      <c r="F104" s="2" t="s">
        <v>17</v>
      </c>
      <c r="G104" s="2" t="s">
        <v>576</v>
      </c>
      <c r="H104" s="2" t="s">
        <v>577</v>
      </c>
      <c r="I104" s="2" t="s">
        <v>578</v>
      </c>
      <c r="J104" s="2" t="s">
        <v>21</v>
      </c>
      <c r="K104" s="2" t="s">
        <v>517</v>
      </c>
      <c r="L104" s="3" t="s">
        <v>23</v>
      </c>
    </row>
    <row r="105" customFormat="false" ht="35.05" hidden="false" customHeight="false" outlineLevel="0" collapsed="false">
      <c r="A105" s="2" t="s">
        <v>579</v>
      </c>
      <c r="B105" s="2" t="s">
        <v>511</v>
      </c>
      <c r="C105" s="2" t="s">
        <v>580</v>
      </c>
      <c r="D105" s="2" t="s">
        <v>80</v>
      </c>
      <c r="E105" s="2" t="s">
        <v>581</v>
      </c>
      <c r="F105" s="2" t="s">
        <v>17</v>
      </c>
      <c r="G105" s="2" t="s">
        <v>582</v>
      </c>
      <c r="H105" s="2" t="s">
        <v>583</v>
      </c>
      <c r="I105" s="2" t="s">
        <v>584</v>
      </c>
      <c r="J105" s="2" t="s">
        <v>21</v>
      </c>
      <c r="K105" s="2" t="s">
        <v>517</v>
      </c>
      <c r="L105" s="3" t="s">
        <v>23</v>
      </c>
    </row>
    <row r="106" customFormat="false" ht="46.25" hidden="false" customHeight="false" outlineLevel="0" collapsed="false">
      <c r="A106" s="2" t="s">
        <v>585</v>
      </c>
      <c r="B106" s="2" t="s">
        <v>511</v>
      </c>
      <c r="C106" s="2" t="s">
        <v>586</v>
      </c>
      <c r="D106" s="2" t="s">
        <v>80</v>
      </c>
      <c r="E106" s="2" t="s">
        <v>587</v>
      </c>
      <c r="F106" s="2" t="s">
        <v>190</v>
      </c>
      <c r="G106" s="2" t="s">
        <v>18</v>
      </c>
      <c r="H106" s="2" t="s">
        <v>588</v>
      </c>
      <c r="I106" s="2" t="s">
        <v>589</v>
      </c>
      <c r="J106" s="2" t="s">
        <v>21</v>
      </c>
      <c r="K106" s="2" t="s">
        <v>517</v>
      </c>
      <c r="L106" s="3" t="s">
        <v>23</v>
      </c>
    </row>
    <row r="107" customFormat="false" ht="46.25" hidden="false" customHeight="false" outlineLevel="0" collapsed="false">
      <c r="A107" s="2" t="s">
        <v>590</v>
      </c>
      <c r="B107" s="2" t="s">
        <v>591</v>
      </c>
      <c r="C107" s="2" t="s">
        <v>592</v>
      </c>
      <c r="D107" s="2" t="s">
        <v>15</v>
      </c>
      <c r="E107" s="2" t="s">
        <v>593</v>
      </c>
      <c r="F107" s="2" t="s">
        <v>17</v>
      </c>
      <c r="G107" s="2" t="s">
        <v>18</v>
      </c>
      <c r="H107" s="2" t="s">
        <v>594</v>
      </c>
      <c r="I107" s="2" t="s">
        <v>595</v>
      </c>
      <c r="J107" s="2" t="s">
        <v>596</v>
      </c>
      <c r="K107" s="2" t="s">
        <v>517</v>
      </c>
      <c r="L107" s="3" t="s">
        <v>23</v>
      </c>
    </row>
    <row r="108" customFormat="false" ht="35.05" hidden="false" customHeight="false" outlineLevel="0" collapsed="false">
      <c r="A108" s="2" t="s">
        <v>597</v>
      </c>
      <c r="B108" s="2" t="s">
        <v>591</v>
      </c>
      <c r="C108" s="2" t="s">
        <v>592</v>
      </c>
      <c r="D108" s="2" t="s">
        <v>80</v>
      </c>
      <c r="E108" s="2" t="s">
        <v>598</v>
      </c>
      <c r="F108" s="2" t="s">
        <v>17</v>
      </c>
      <c r="G108" s="2" t="s">
        <v>582</v>
      </c>
      <c r="H108" s="2" t="s">
        <v>599</v>
      </c>
      <c r="I108" s="2" t="s">
        <v>600</v>
      </c>
      <c r="J108" s="2" t="s">
        <v>596</v>
      </c>
      <c r="K108" s="2" t="s">
        <v>601</v>
      </c>
      <c r="L108" s="3" t="s">
        <v>23</v>
      </c>
    </row>
    <row r="109" customFormat="false" ht="35.05" hidden="false" customHeight="false" outlineLevel="0" collapsed="false">
      <c r="A109" s="2" t="s">
        <v>602</v>
      </c>
      <c r="B109" s="2" t="s">
        <v>603</v>
      </c>
      <c r="C109" s="2" t="s">
        <v>604</v>
      </c>
      <c r="D109" s="2" t="s">
        <v>15</v>
      </c>
      <c r="E109" s="2" t="s">
        <v>605</v>
      </c>
      <c r="F109" s="2" t="s">
        <v>17</v>
      </c>
      <c r="G109" s="2" t="s">
        <v>18</v>
      </c>
      <c r="H109" s="2" t="s">
        <v>606</v>
      </c>
      <c r="I109" s="2" t="s">
        <v>607</v>
      </c>
      <c r="J109" s="2" t="s">
        <v>21</v>
      </c>
      <c r="K109" s="2" t="s">
        <v>608</v>
      </c>
      <c r="L109" s="3" t="s">
        <v>23</v>
      </c>
    </row>
    <row r="110" customFormat="false" ht="35.05" hidden="false" customHeight="false" outlineLevel="0" collapsed="false">
      <c r="A110" s="2" t="s">
        <v>609</v>
      </c>
      <c r="B110" s="2" t="s">
        <v>603</v>
      </c>
      <c r="C110" s="2" t="s">
        <v>604</v>
      </c>
      <c r="D110" s="2" t="s">
        <v>80</v>
      </c>
      <c r="E110" s="2" t="s">
        <v>610</v>
      </c>
      <c r="F110" s="2" t="s">
        <v>17</v>
      </c>
      <c r="G110" s="2" t="s">
        <v>611</v>
      </c>
      <c r="H110" s="2" t="s">
        <v>612</v>
      </c>
      <c r="I110" s="2" t="s">
        <v>613</v>
      </c>
      <c r="J110" s="2" t="s">
        <v>21</v>
      </c>
      <c r="K110" s="2" t="s">
        <v>608</v>
      </c>
      <c r="L110" s="3" t="s">
        <v>23</v>
      </c>
    </row>
    <row r="111" customFormat="false" ht="35.05" hidden="false" customHeight="false" outlineLevel="0" collapsed="false">
      <c r="A111" s="2" t="s">
        <v>614</v>
      </c>
      <c r="B111" s="2" t="s">
        <v>603</v>
      </c>
      <c r="C111" s="2" t="s">
        <v>604</v>
      </c>
      <c r="D111" s="2" t="s">
        <v>80</v>
      </c>
      <c r="E111" s="2" t="s">
        <v>615</v>
      </c>
      <c r="F111" s="2" t="s">
        <v>17</v>
      </c>
      <c r="G111" s="2" t="s">
        <v>616</v>
      </c>
      <c r="H111" s="2" t="s">
        <v>617</v>
      </c>
      <c r="I111" s="2" t="s">
        <v>618</v>
      </c>
      <c r="J111" s="2" t="s">
        <v>21</v>
      </c>
      <c r="K111" s="2" t="s">
        <v>608</v>
      </c>
      <c r="L111" s="3" t="s">
        <v>23</v>
      </c>
    </row>
    <row r="112" customFormat="false" ht="35.05" hidden="false" customHeight="false" outlineLevel="0" collapsed="false">
      <c r="A112" s="2" t="s">
        <v>619</v>
      </c>
      <c r="B112" s="2" t="s">
        <v>603</v>
      </c>
      <c r="C112" s="2" t="s">
        <v>604</v>
      </c>
      <c r="D112" s="2" t="s">
        <v>80</v>
      </c>
      <c r="E112" s="2" t="s">
        <v>620</v>
      </c>
      <c r="F112" s="2" t="s">
        <v>17</v>
      </c>
      <c r="G112" s="2" t="s">
        <v>621</v>
      </c>
      <c r="H112" s="2" t="s">
        <v>622</v>
      </c>
      <c r="I112" s="2" t="s">
        <v>623</v>
      </c>
      <c r="J112" s="2" t="s">
        <v>21</v>
      </c>
      <c r="K112" s="2" t="s">
        <v>624</v>
      </c>
      <c r="L112" s="3" t="s">
        <v>23</v>
      </c>
    </row>
    <row r="113" customFormat="false" ht="35.05" hidden="false" customHeight="false" outlineLevel="0" collapsed="false">
      <c r="A113" s="2" t="s">
        <v>625</v>
      </c>
      <c r="B113" s="2" t="s">
        <v>603</v>
      </c>
      <c r="C113" s="2" t="s">
        <v>626</v>
      </c>
      <c r="D113" s="2" t="s">
        <v>15</v>
      </c>
      <c r="E113" s="2" t="s">
        <v>627</v>
      </c>
      <c r="F113" s="2" t="s">
        <v>17</v>
      </c>
      <c r="G113" s="2" t="s">
        <v>18</v>
      </c>
      <c r="H113" s="2" t="s">
        <v>606</v>
      </c>
      <c r="I113" s="2" t="s">
        <v>628</v>
      </c>
      <c r="J113" s="2" t="s">
        <v>21</v>
      </c>
      <c r="K113" s="2" t="s">
        <v>608</v>
      </c>
      <c r="L113" s="3" t="s">
        <v>23</v>
      </c>
    </row>
    <row r="114" customFormat="false" ht="35.05" hidden="false" customHeight="false" outlineLevel="0" collapsed="false">
      <c r="A114" s="2" t="s">
        <v>629</v>
      </c>
      <c r="B114" s="2" t="s">
        <v>630</v>
      </c>
      <c r="C114" s="2" t="s">
        <v>631</v>
      </c>
      <c r="D114" s="2" t="s">
        <v>15</v>
      </c>
      <c r="E114" s="2" t="s">
        <v>632</v>
      </c>
      <c r="F114" s="2" t="s">
        <v>17</v>
      </c>
      <c r="G114" s="2" t="s">
        <v>18</v>
      </c>
      <c r="H114" s="2" t="s">
        <v>633</v>
      </c>
      <c r="I114" s="2" t="s">
        <v>634</v>
      </c>
      <c r="J114" s="2" t="s">
        <v>21</v>
      </c>
      <c r="K114" s="2" t="s">
        <v>635</v>
      </c>
      <c r="L114" s="3" t="s">
        <v>23</v>
      </c>
    </row>
    <row r="115" customFormat="false" ht="35.05" hidden="false" customHeight="false" outlineLevel="0" collapsed="false">
      <c r="A115" s="2" t="s">
        <v>636</v>
      </c>
      <c r="B115" s="2" t="s">
        <v>630</v>
      </c>
      <c r="C115" s="2" t="s">
        <v>637</v>
      </c>
      <c r="D115" s="2" t="s">
        <v>15</v>
      </c>
      <c r="E115" s="2" t="s">
        <v>638</v>
      </c>
      <c r="F115" s="2" t="s">
        <v>17</v>
      </c>
      <c r="G115" s="2" t="s">
        <v>18</v>
      </c>
      <c r="H115" s="2" t="s">
        <v>479</v>
      </c>
      <c r="I115" s="2" t="s">
        <v>639</v>
      </c>
      <c r="J115" s="2" t="s">
        <v>21</v>
      </c>
      <c r="K115" s="2" t="s">
        <v>635</v>
      </c>
      <c r="L115" s="3" t="s">
        <v>23</v>
      </c>
    </row>
    <row r="116" customFormat="false" ht="46.25" hidden="false" customHeight="false" outlineLevel="0" collapsed="false">
      <c r="A116" s="2" t="s">
        <v>640</v>
      </c>
      <c r="B116" s="2" t="s">
        <v>630</v>
      </c>
      <c r="C116" s="2" t="s">
        <v>641</v>
      </c>
      <c r="D116" s="2" t="s">
        <v>15</v>
      </c>
      <c r="E116" s="2" t="s">
        <v>642</v>
      </c>
      <c r="F116" s="2" t="s">
        <v>643</v>
      </c>
      <c r="G116" s="2" t="s">
        <v>18</v>
      </c>
      <c r="H116" s="2" t="s">
        <v>644</v>
      </c>
      <c r="I116" s="2" t="s">
        <v>645</v>
      </c>
      <c r="J116" s="2" t="s">
        <v>21</v>
      </c>
      <c r="K116" s="2" t="s">
        <v>635</v>
      </c>
      <c r="L116" s="3" t="s">
        <v>23</v>
      </c>
    </row>
    <row r="117" customFormat="false" ht="35.05" hidden="false" customHeight="false" outlineLevel="0" collapsed="false">
      <c r="A117" s="2" t="s">
        <v>646</v>
      </c>
      <c r="B117" s="2" t="s">
        <v>647</v>
      </c>
      <c r="C117" s="2" t="s">
        <v>648</v>
      </c>
      <c r="D117" s="2" t="s">
        <v>15</v>
      </c>
      <c r="E117" s="2" t="s">
        <v>649</v>
      </c>
      <c r="F117" s="2" t="s">
        <v>17</v>
      </c>
      <c r="G117" s="2" t="s">
        <v>18</v>
      </c>
      <c r="H117" s="2" t="s">
        <v>650</v>
      </c>
      <c r="I117" s="2" t="s">
        <v>651</v>
      </c>
      <c r="J117" s="2" t="s">
        <v>21</v>
      </c>
      <c r="K117" s="2" t="s">
        <v>652</v>
      </c>
      <c r="L117" s="3" t="s">
        <v>23</v>
      </c>
    </row>
    <row r="118" customFormat="false" ht="35.05" hidden="false" customHeight="false" outlineLevel="0" collapsed="false">
      <c r="A118" s="2" t="s">
        <v>653</v>
      </c>
      <c r="B118" s="2" t="s">
        <v>647</v>
      </c>
      <c r="C118" s="2" t="s">
        <v>654</v>
      </c>
      <c r="D118" s="2" t="s">
        <v>15</v>
      </c>
      <c r="E118" s="2" t="s">
        <v>655</v>
      </c>
      <c r="F118" s="2" t="s">
        <v>17</v>
      </c>
      <c r="G118" s="2" t="s">
        <v>18</v>
      </c>
      <c r="H118" s="2" t="s">
        <v>650</v>
      </c>
      <c r="I118" s="2" t="s">
        <v>656</v>
      </c>
      <c r="J118" s="2" t="s">
        <v>21</v>
      </c>
      <c r="K118" s="2" t="s">
        <v>652</v>
      </c>
      <c r="L118" s="3" t="s">
        <v>23</v>
      </c>
    </row>
    <row r="119" customFormat="false" ht="68.65" hidden="false" customHeight="false" outlineLevel="0" collapsed="false">
      <c r="A119" s="2" t="s">
        <v>657</v>
      </c>
      <c r="B119" s="2" t="s">
        <v>647</v>
      </c>
      <c r="C119" s="2" t="s">
        <v>658</v>
      </c>
      <c r="D119" s="2" t="s">
        <v>15</v>
      </c>
      <c r="E119" s="2" t="s">
        <v>659</v>
      </c>
      <c r="F119" s="2" t="s">
        <v>17</v>
      </c>
      <c r="G119" s="2" t="s">
        <v>18</v>
      </c>
      <c r="H119" s="2" t="s">
        <v>660</v>
      </c>
      <c r="I119" s="2" t="s">
        <v>661</v>
      </c>
      <c r="J119" s="2" t="s">
        <v>21</v>
      </c>
      <c r="K119" s="2" t="s">
        <v>652</v>
      </c>
      <c r="L119" s="3" t="s">
        <v>23</v>
      </c>
    </row>
    <row r="120" customFormat="false" ht="35.05" hidden="false" customHeight="false" outlineLevel="0" collapsed="false">
      <c r="A120" s="2" t="s">
        <v>662</v>
      </c>
      <c r="B120" s="2" t="s">
        <v>647</v>
      </c>
      <c r="C120" s="2" t="s">
        <v>663</v>
      </c>
      <c r="D120" s="2" t="s">
        <v>80</v>
      </c>
      <c r="E120" s="2" t="s">
        <v>664</v>
      </c>
      <c r="F120" s="2" t="s">
        <v>17</v>
      </c>
      <c r="G120" s="2" t="s">
        <v>665</v>
      </c>
      <c r="H120" s="2" t="s">
        <v>666</v>
      </c>
      <c r="I120" s="2" t="s">
        <v>667</v>
      </c>
      <c r="J120" s="2" t="s">
        <v>21</v>
      </c>
      <c r="K120" s="2" t="s">
        <v>652</v>
      </c>
      <c r="L120" s="3" t="s">
        <v>23</v>
      </c>
    </row>
    <row r="121" customFormat="false" ht="35.05" hidden="false" customHeight="false" outlineLevel="0" collapsed="false">
      <c r="A121" s="2" t="s">
        <v>668</v>
      </c>
      <c r="B121" s="2" t="s">
        <v>647</v>
      </c>
      <c r="C121" s="2" t="s">
        <v>663</v>
      </c>
      <c r="D121" s="2" t="s">
        <v>80</v>
      </c>
      <c r="E121" s="2" t="s">
        <v>669</v>
      </c>
      <c r="F121" s="2" t="s">
        <v>17</v>
      </c>
      <c r="G121" s="2" t="s">
        <v>670</v>
      </c>
      <c r="H121" s="2" t="s">
        <v>671</v>
      </c>
      <c r="I121" s="2" t="s">
        <v>672</v>
      </c>
      <c r="J121" s="2" t="s">
        <v>21</v>
      </c>
      <c r="K121" s="2" t="s">
        <v>652</v>
      </c>
      <c r="L121" s="3" t="s">
        <v>23</v>
      </c>
    </row>
    <row r="122" customFormat="false" ht="35.05" hidden="false" customHeight="false" outlineLevel="0" collapsed="false">
      <c r="A122" s="2" t="s">
        <v>673</v>
      </c>
      <c r="B122" s="2" t="s">
        <v>647</v>
      </c>
      <c r="C122" s="2" t="s">
        <v>663</v>
      </c>
      <c r="D122" s="2" t="s">
        <v>80</v>
      </c>
      <c r="E122" s="2" t="s">
        <v>674</v>
      </c>
      <c r="F122" s="2" t="s">
        <v>17</v>
      </c>
      <c r="G122" s="2" t="s">
        <v>675</v>
      </c>
      <c r="H122" s="2" t="s">
        <v>676</v>
      </c>
      <c r="I122" s="2" t="s">
        <v>677</v>
      </c>
      <c r="J122" s="2" t="s">
        <v>21</v>
      </c>
      <c r="K122" s="2" t="s">
        <v>652</v>
      </c>
      <c r="L122" s="3" t="s">
        <v>23</v>
      </c>
    </row>
    <row r="123" customFormat="false" ht="46.25" hidden="false" customHeight="false" outlineLevel="0" collapsed="false">
      <c r="A123" s="2" t="s">
        <v>678</v>
      </c>
      <c r="B123" s="2" t="s">
        <v>647</v>
      </c>
      <c r="C123" s="2" t="s">
        <v>679</v>
      </c>
      <c r="D123" s="2" t="s">
        <v>25</v>
      </c>
      <c r="E123" s="2" t="s">
        <v>680</v>
      </c>
      <c r="F123" s="2" t="s">
        <v>17</v>
      </c>
      <c r="G123" s="2" t="s">
        <v>18</v>
      </c>
      <c r="H123" s="2" t="s">
        <v>681</v>
      </c>
      <c r="I123" s="2" t="s">
        <v>682</v>
      </c>
      <c r="J123" s="2" t="s">
        <v>21</v>
      </c>
      <c r="K123" s="2" t="s">
        <v>652</v>
      </c>
      <c r="L123" s="3" t="s">
        <v>23</v>
      </c>
    </row>
    <row r="124" customFormat="false" ht="57.45" hidden="false" customHeight="false" outlineLevel="0" collapsed="false">
      <c r="A124" s="2" t="s">
        <v>683</v>
      </c>
      <c r="B124" s="2" t="s">
        <v>647</v>
      </c>
      <c r="C124" s="2" t="s">
        <v>679</v>
      </c>
      <c r="D124" s="2" t="s">
        <v>25</v>
      </c>
      <c r="E124" s="2" t="s">
        <v>684</v>
      </c>
      <c r="F124" s="2" t="s">
        <v>17</v>
      </c>
      <c r="G124" s="2" t="s">
        <v>18</v>
      </c>
      <c r="H124" s="2" t="s">
        <v>685</v>
      </c>
      <c r="I124" s="2" t="s">
        <v>686</v>
      </c>
      <c r="J124" s="2" t="s">
        <v>21</v>
      </c>
      <c r="K124" s="2" t="s">
        <v>687</v>
      </c>
      <c r="L124" s="3" t="s">
        <v>23</v>
      </c>
    </row>
    <row r="125" customFormat="false" ht="46.25" hidden="false" customHeight="false" outlineLevel="0" collapsed="false">
      <c r="A125" s="2" t="s">
        <v>688</v>
      </c>
      <c r="B125" s="2" t="s">
        <v>647</v>
      </c>
      <c r="C125" s="2" t="s">
        <v>679</v>
      </c>
      <c r="D125" s="2" t="s">
        <v>80</v>
      </c>
      <c r="E125" s="2" t="s">
        <v>689</v>
      </c>
      <c r="F125" s="2" t="s">
        <v>17</v>
      </c>
      <c r="G125" s="2" t="s">
        <v>690</v>
      </c>
      <c r="H125" s="2" t="s">
        <v>691</v>
      </c>
      <c r="I125" s="2" t="s">
        <v>692</v>
      </c>
      <c r="J125" s="2" t="s">
        <v>21</v>
      </c>
      <c r="K125" s="2" t="s">
        <v>687</v>
      </c>
      <c r="L125" s="3" t="s">
        <v>23</v>
      </c>
    </row>
    <row r="126" customFormat="false" ht="35.05" hidden="false" customHeight="false" outlineLevel="0" collapsed="false">
      <c r="A126" s="2" t="s">
        <v>693</v>
      </c>
      <c r="B126" s="2" t="s">
        <v>694</v>
      </c>
      <c r="C126" s="2" t="s">
        <v>695</v>
      </c>
      <c r="D126" s="2" t="s">
        <v>15</v>
      </c>
      <c r="E126" s="2" t="s">
        <v>696</v>
      </c>
      <c r="F126" s="2" t="s">
        <v>17</v>
      </c>
      <c r="G126" s="2" t="s">
        <v>18</v>
      </c>
      <c r="H126" s="2" t="s">
        <v>697</v>
      </c>
      <c r="I126" s="2" t="s">
        <v>698</v>
      </c>
      <c r="J126" s="2" t="s">
        <v>21</v>
      </c>
      <c r="K126" s="2" t="s">
        <v>699</v>
      </c>
      <c r="L126" s="3" t="s">
        <v>23</v>
      </c>
    </row>
    <row r="127" customFormat="false" ht="35.05" hidden="false" customHeight="false" outlineLevel="0" collapsed="false">
      <c r="A127" s="2" t="s">
        <v>700</v>
      </c>
      <c r="B127" s="2" t="s">
        <v>694</v>
      </c>
      <c r="C127" s="2" t="s">
        <v>701</v>
      </c>
      <c r="D127" s="2" t="s">
        <v>25</v>
      </c>
      <c r="E127" s="2" t="s">
        <v>702</v>
      </c>
      <c r="F127" s="2" t="s">
        <v>17</v>
      </c>
      <c r="G127" s="2" t="s">
        <v>18</v>
      </c>
      <c r="H127" s="2" t="s">
        <v>697</v>
      </c>
      <c r="I127" s="2" t="s">
        <v>703</v>
      </c>
      <c r="J127" s="2" t="s">
        <v>21</v>
      </c>
      <c r="K127" s="2" t="s">
        <v>699</v>
      </c>
      <c r="L127" s="3" t="s">
        <v>23</v>
      </c>
    </row>
    <row r="128" customFormat="false" ht="35.05" hidden="false" customHeight="false" outlineLevel="0" collapsed="false">
      <c r="A128" s="2" t="s">
        <v>704</v>
      </c>
      <c r="B128" s="2" t="s">
        <v>694</v>
      </c>
      <c r="C128" s="2" t="s">
        <v>705</v>
      </c>
      <c r="D128" s="2" t="s">
        <v>80</v>
      </c>
      <c r="E128" s="2" t="s">
        <v>706</v>
      </c>
      <c r="F128" s="2" t="s">
        <v>17</v>
      </c>
      <c r="G128" s="2" t="s">
        <v>707</v>
      </c>
      <c r="H128" s="2" t="s">
        <v>708</v>
      </c>
      <c r="I128" s="2" t="s">
        <v>709</v>
      </c>
      <c r="J128" s="2" t="s">
        <v>21</v>
      </c>
      <c r="K128" s="2" t="s">
        <v>699</v>
      </c>
      <c r="L128" s="3" t="s">
        <v>23</v>
      </c>
    </row>
    <row r="129" customFormat="false" ht="35.05" hidden="false" customHeight="false" outlineLevel="0" collapsed="false">
      <c r="A129" s="2" t="s">
        <v>710</v>
      </c>
      <c r="B129" s="2" t="s">
        <v>694</v>
      </c>
      <c r="C129" s="2" t="s">
        <v>705</v>
      </c>
      <c r="D129" s="2" t="s">
        <v>80</v>
      </c>
      <c r="E129" s="2" t="s">
        <v>711</v>
      </c>
      <c r="F129" s="2" t="s">
        <v>17</v>
      </c>
      <c r="G129" s="2" t="s">
        <v>712</v>
      </c>
      <c r="H129" s="2" t="s">
        <v>713</v>
      </c>
      <c r="I129" s="2" t="s">
        <v>714</v>
      </c>
      <c r="J129" s="2" t="s">
        <v>21</v>
      </c>
      <c r="K129" s="2" t="s">
        <v>699</v>
      </c>
      <c r="L129" s="3" t="s">
        <v>23</v>
      </c>
    </row>
    <row r="130" customFormat="false" ht="57.45" hidden="false" customHeight="false" outlineLevel="0" collapsed="false">
      <c r="A130" s="2" t="s">
        <v>715</v>
      </c>
      <c r="B130" s="2" t="s">
        <v>716</v>
      </c>
      <c r="C130" s="2" t="s">
        <v>717</v>
      </c>
      <c r="D130" s="2" t="s">
        <v>15</v>
      </c>
      <c r="E130" s="2" t="s">
        <v>718</v>
      </c>
      <c r="F130" s="2" t="s">
        <v>17</v>
      </c>
      <c r="G130" s="2" t="s">
        <v>18</v>
      </c>
      <c r="H130" s="2" t="s">
        <v>719</v>
      </c>
      <c r="I130" s="2" t="s">
        <v>720</v>
      </c>
      <c r="J130" s="2" t="s">
        <v>721</v>
      </c>
      <c r="K130" s="2" t="s">
        <v>382</v>
      </c>
      <c r="L130" s="3" t="s">
        <v>23</v>
      </c>
    </row>
    <row r="131" customFormat="false" ht="35.05" hidden="false" customHeight="false" outlineLevel="0" collapsed="false">
      <c r="A131" s="2" t="s">
        <v>722</v>
      </c>
      <c r="B131" s="2" t="s">
        <v>723</v>
      </c>
      <c r="C131" s="2" t="s">
        <v>724</v>
      </c>
      <c r="D131" s="2" t="s">
        <v>15</v>
      </c>
      <c r="E131" s="2" t="s">
        <v>725</v>
      </c>
      <c r="F131" s="2" t="s">
        <v>17</v>
      </c>
      <c r="G131" s="2" t="s">
        <v>18</v>
      </c>
      <c r="H131" s="2" t="s">
        <v>726</v>
      </c>
      <c r="I131" s="2" t="s">
        <v>727</v>
      </c>
      <c r="J131" s="2" t="s">
        <v>596</v>
      </c>
      <c r="K131" s="2" t="s">
        <v>728</v>
      </c>
      <c r="L131" s="3" t="s">
        <v>23</v>
      </c>
    </row>
    <row r="132" customFormat="false" ht="35.05" hidden="false" customHeight="false" outlineLevel="0" collapsed="false">
      <c r="A132" s="2" t="s">
        <v>729</v>
      </c>
      <c r="B132" s="2" t="s">
        <v>730</v>
      </c>
      <c r="C132" s="2" t="s">
        <v>731</v>
      </c>
      <c r="D132" s="2" t="s">
        <v>15</v>
      </c>
      <c r="E132" s="2" t="s">
        <v>732</v>
      </c>
      <c r="F132" s="2" t="s">
        <v>17</v>
      </c>
      <c r="G132" s="2" t="s">
        <v>18</v>
      </c>
      <c r="H132" s="2" t="s">
        <v>726</v>
      </c>
      <c r="I132" s="2" t="s">
        <v>733</v>
      </c>
      <c r="J132" s="2" t="s">
        <v>21</v>
      </c>
      <c r="K132" s="2" t="s">
        <v>734</v>
      </c>
      <c r="L132" s="3" t="s">
        <v>23</v>
      </c>
    </row>
    <row r="133" customFormat="false" ht="35.05" hidden="false" customHeight="false" outlineLevel="0" collapsed="false">
      <c r="A133" s="2" t="s">
        <v>735</v>
      </c>
      <c r="B133" s="2" t="s">
        <v>736</v>
      </c>
      <c r="C133" s="2" t="s">
        <v>737</v>
      </c>
      <c r="D133" s="2" t="s">
        <v>25</v>
      </c>
      <c r="E133" s="2" t="s">
        <v>738</v>
      </c>
      <c r="F133" s="2" t="s">
        <v>45</v>
      </c>
      <c r="G133" s="2" t="s">
        <v>18</v>
      </c>
      <c r="H133" s="2" t="s">
        <v>739</v>
      </c>
      <c r="I133" s="2" t="s">
        <v>740</v>
      </c>
      <c r="J133" s="2" t="s">
        <v>137</v>
      </c>
      <c r="K133" s="2" t="s">
        <v>138</v>
      </c>
      <c r="L133" s="3" t="s">
        <v>23</v>
      </c>
    </row>
    <row r="134" customFormat="false" ht="35.05" hidden="false" customHeight="false" outlineLevel="0" collapsed="false">
      <c r="A134" s="2" t="s">
        <v>741</v>
      </c>
      <c r="B134" s="2" t="s">
        <v>742</v>
      </c>
      <c r="C134" s="2" t="s">
        <v>743</v>
      </c>
      <c r="D134" s="2" t="s">
        <v>15</v>
      </c>
      <c r="E134" s="2" t="s">
        <v>744</v>
      </c>
      <c r="F134" s="2" t="s">
        <v>45</v>
      </c>
      <c r="G134" s="2" t="s">
        <v>18</v>
      </c>
      <c r="H134" s="2" t="s">
        <v>745</v>
      </c>
      <c r="I134" s="2" t="s">
        <v>746</v>
      </c>
      <c r="J134" s="2" t="s">
        <v>596</v>
      </c>
      <c r="K134" s="2" t="s">
        <v>30</v>
      </c>
      <c r="L134" s="3" t="s">
        <v>23</v>
      </c>
    </row>
    <row r="135" customFormat="false" ht="35.05" hidden="false" customHeight="false" outlineLevel="0" collapsed="false">
      <c r="A135" s="2" t="s">
        <v>747</v>
      </c>
      <c r="B135" s="2" t="s">
        <v>742</v>
      </c>
      <c r="C135" s="2" t="s">
        <v>743</v>
      </c>
      <c r="D135" s="2" t="s">
        <v>80</v>
      </c>
      <c r="E135" s="2" t="s">
        <v>748</v>
      </c>
      <c r="F135" s="2" t="s">
        <v>45</v>
      </c>
      <c r="G135" s="2" t="s">
        <v>749</v>
      </c>
      <c r="H135" s="2" t="s">
        <v>750</v>
      </c>
      <c r="I135" s="2" t="s">
        <v>751</v>
      </c>
      <c r="J135" s="2" t="s">
        <v>596</v>
      </c>
      <c r="K135" s="2" t="s">
        <v>30</v>
      </c>
      <c r="L135" s="3" t="s">
        <v>23</v>
      </c>
    </row>
    <row r="136" customFormat="false" ht="35.05" hidden="false" customHeight="false" outlineLevel="0" collapsed="false">
      <c r="A136" s="2" t="s">
        <v>752</v>
      </c>
      <c r="B136" s="2" t="s">
        <v>742</v>
      </c>
      <c r="C136" s="2" t="s">
        <v>753</v>
      </c>
      <c r="D136" s="2" t="s">
        <v>15</v>
      </c>
      <c r="E136" s="2" t="s">
        <v>754</v>
      </c>
      <c r="F136" s="2" t="s">
        <v>45</v>
      </c>
      <c r="G136" s="2" t="s">
        <v>18</v>
      </c>
      <c r="H136" s="2" t="s">
        <v>755</v>
      </c>
      <c r="I136" s="2" t="s">
        <v>756</v>
      </c>
      <c r="J136" s="2" t="s">
        <v>596</v>
      </c>
      <c r="K136" s="2" t="s">
        <v>30</v>
      </c>
      <c r="L136" s="3" t="s">
        <v>23</v>
      </c>
    </row>
    <row r="137" customFormat="false" ht="35.05" hidden="false" customHeight="false" outlineLevel="0" collapsed="false">
      <c r="A137" s="2" t="s">
        <v>757</v>
      </c>
      <c r="B137" s="2" t="s">
        <v>758</v>
      </c>
      <c r="C137" s="2" t="s">
        <v>759</v>
      </c>
      <c r="D137" s="2" t="s">
        <v>15</v>
      </c>
      <c r="E137" s="2" t="s">
        <v>760</v>
      </c>
      <c r="F137" s="2" t="s">
        <v>45</v>
      </c>
      <c r="G137" s="2" t="s">
        <v>18</v>
      </c>
      <c r="H137" s="2" t="s">
        <v>761</v>
      </c>
      <c r="I137" s="2" t="s">
        <v>762</v>
      </c>
      <c r="J137" s="2" t="s">
        <v>721</v>
      </c>
      <c r="K137" s="2" t="s">
        <v>30</v>
      </c>
      <c r="L137" s="3" t="s">
        <v>23</v>
      </c>
    </row>
    <row r="138" customFormat="false" ht="35.05" hidden="false" customHeight="false" outlineLevel="0" collapsed="false">
      <c r="A138" s="2" t="s">
        <v>763</v>
      </c>
      <c r="B138" s="2" t="s">
        <v>758</v>
      </c>
      <c r="C138" s="2" t="s">
        <v>764</v>
      </c>
      <c r="D138" s="2" t="s">
        <v>15</v>
      </c>
      <c r="E138" s="2" t="s">
        <v>765</v>
      </c>
      <c r="F138" s="2" t="s">
        <v>45</v>
      </c>
      <c r="G138" s="2" t="s">
        <v>18</v>
      </c>
      <c r="H138" s="2" t="s">
        <v>766</v>
      </c>
      <c r="I138" s="2" t="s">
        <v>767</v>
      </c>
      <c r="J138" s="2" t="s">
        <v>721</v>
      </c>
      <c r="K138" s="2" t="s">
        <v>30</v>
      </c>
      <c r="L138" s="3" t="s">
        <v>23</v>
      </c>
    </row>
    <row r="139" customFormat="false" ht="35.05" hidden="false" customHeight="false" outlineLevel="0" collapsed="false">
      <c r="A139" s="2" t="s">
        <v>768</v>
      </c>
      <c r="B139" s="2" t="s">
        <v>769</v>
      </c>
      <c r="C139" s="2" t="s">
        <v>770</v>
      </c>
      <c r="D139" s="2" t="s">
        <v>25</v>
      </c>
      <c r="E139" s="2" t="s">
        <v>771</v>
      </c>
      <c r="F139" s="2" t="s">
        <v>45</v>
      </c>
      <c r="G139" s="2" t="s">
        <v>18</v>
      </c>
      <c r="H139" s="2" t="s">
        <v>772</v>
      </c>
      <c r="I139" s="2" t="s">
        <v>773</v>
      </c>
      <c r="J139" s="2" t="s">
        <v>137</v>
      </c>
      <c r="K139" s="2" t="s">
        <v>30</v>
      </c>
      <c r="L139" s="3" t="s">
        <v>23</v>
      </c>
    </row>
  </sheetData>
  <autoFilter ref="A1:L139"/>
  <dataValidations count="1">
    <dataValidation allowBlank="false" errorStyle="stop" operator="between" showDropDown="false" showErrorMessage="false" showInputMessage="false" sqref="L2:L139" type="list">
      <formula1>"Not run,Pass,Fail,Blocked"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30"/>
    <col collapsed="false" customWidth="true" hidden="false" outlineLevel="0" max="4" min="4" style="0" width="8"/>
    <col collapsed="false" customWidth="true" hidden="false" outlineLevel="0" max="5" min="5" style="0" width="60"/>
    <col collapsed="false" customWidth="true" hidden="false" outlineLevel="0" max="6" min="6" style="0" width="40"/>
    <col collapsed="false" customWidth="true" hidden="false" outlineLevel="0" max="7" min="7" style="0" width="9"/>
    <col collapsed="false" customWidth="true" hidden="false" outlineLevel="0" max="8" min="8" style="0" width="14"/>
    <col collapsed="false" customWidth="true" hidden="false" outlineLevel="0" max="9" min="9" style="0" width="24"/>
  </cols>
  <sheetData>
    <row r="1" customFormat="false" ht="23.85" hidden="false" customHeight="false" outlineLevel="0" collapsed="false">
      <c r="A1" s="1" t="s">
        <v>774</v>
      </c>
      <c r="B1" s="1" t="s">
        <v>1</v>
      </c>
      <c r="C1" s="1" t="s">
        <v>775</v>
      </c>
      <c r="D1" s="1" t="s">
        <v>9</v>
      </c>
      <c r="E1" s="1" t="s">
        <v>776</v>
      </c>
      <c r="F1" s="1" t="s">
        <v>777</v>
      </c>
      <c r="G1" s="1" t="s">
        <v>778</v>
      </c>
      <c r="H1" s="1" t="s">
        <v>779</v>
      </c>
      <c r="I1" s="1" t="s">
        <v>780</v>
      </c>
    </row>
    <row r="2" customFormat="false" ht="15" hidden="false" customHeight="false" outlineLevel="0" collapsed="false">
      <c r="A2" s="2" t="s">
        <v>14</v>
      </c>
      <c r="B2" s="2" t="s">
        <v>13</v>
      </c>
      <c r="C2" s="2" t="s">
        <v>781</v>
      </c>
      <c r="D2" s="2" t="s">
        <v>21</v>
      </c>
      <c r="E2" s="2" t="s">
        <v>782</v>
      </c>
      <c r="F2" s="2" t="s">
        <v>783</v>
      </c>
      <c r="G2" s="2" t="n">
        <f aca="false">COUNTIF('Test cases'!$C$2:$C$139,A2)</f>
        <v>2</v>
      </c>
      <c r="H2" s="2" t="str">
        <f aca="false">IF(G2=0,"NO TEST CASE","Covered")</f>
        <v>Covered</v>
      </c>
      <c r="I2" s="2" t="s">
        <v>784</v>
      </c>
    </row>
    <row r="3" customFormat="false" ht="15" hidden="false" customHeight="false" outlineLevel="0" collapsed="false">
      <c r="A3" s="2" t="s">
        <v>32</v>
      </c>
      <c r="B3" s="2" t="s">
        <v>13</v>
      </c>
      <c r="C3" s="2" t="s">
        <v>781</v>
      </c>
      <c r="D3" s="2" t="s">
        <v>21</v>
      </c>
      <c r="E3" s="2" t="s">
        <v>785</v>
      </c>
      <c r="F3" s="2" t="s">
        <v>31</v>
      </c>
      <c r="G3" s="2" t="n">
        <f aca="false">COUNTIF('Test cases'!$C$2:$C$139,A3)</f>
        <v>1</v>
      </c>
      <c r="H3" s="2" t="str">
        <f aca="false">IF(G3=0,"NO TEST CASE","Covered")</f>
        <v>Covered</v>
      </c>
      <c r="I3" s="2" t="s">
        <v>784</v>
      </c>
    </row>
    <row r="4" customFormat="false" ht="15" hidden="false" customHeight="false" outlineLevel="0" collapsed="false">
      <c r="A4" s="2" t="s">
        <v>37</v>
      </c>
      <c r="B4" s="2" t="s">
        <v>13</v>
      </c>
      <c r="C4" s="2" t="s">
        <v>781</v>
      </c>
      <c r="D4" s="2" t="s">
        <v>21</v>
      </c>
      <c r="E4" s="2" t="s">
        <v>785</v>
      </c>
      <c r="F4" s="2" t="s">
        <v>36</v>
      </c>
      <c r="G4" s="2" t="n">
        <f aca="false">COUNTIF('Test cases'!$C$2:$C$139,A4)</f>
        <v>1</v>
      </c>
      <c r="H4" s="2" t="str">
        <f aca="false">IF(G4=0,"NO TEST CASE","Covered")</f>
        <v>Covered</v>
      </c>
      <c r="I4" s="2" t="s">
        <v>786</v>
      </c>
    </row>
    <row r="5" customFormat="false" ht="15" hidden="false" customHeight="false" outlineLevel="0" collapsed="false">
      <c r="A5" s="2" t="s">
        <v>43</v>
      </c>
      <c r="B5" s="2" t="s">
        <v>13</v>
      </c>
      <c r="C5" s="2" t="s">
        <v>781</v>
      </c>
      <c r="D5" s="2" t="s">
        <v>21</v>
      </c>
      <c r="E5" s="2" t="s">
        <v>787</v>
      </c>
      <c r="F5" s="2" t="s">
        <v>42</v>
      </c>
      <c r="G5" s="2" t="n">
        <f aca="false">COUNTIF('Test cases'!$C$2:$C$139,A5)</f>
        <v>1</v>
      </c>
      <c r="H5" s="2" t="str">
        <f aca="false">IF(G5=0,"NO TEST CASE","Covered")</f>
        <v>Covered</v>
      </c>
      <c r="I5" s="2" t="s">
        <v>788</v>
      </c>
    </row>
    <row r="6" customFormat="false" ht="23.85" hidden="false" customHeight="false" outlineLevel="0" collapsed="false">
      <c r="A6" s="2" t="s">
        <v>51</v>
      </c>
      <c r="B6" s="2" t="s">
        <v>50</v>
      </c>
      <c r="C6" s="2" t="s">
        <v>789</v>
      </c>
      <c r="D6" s="2" t="s">
        <v>21</v>
      </c>
      <c r="E6" s="2" t="s">
        <v>790</v>
      </c>
      <c r="F6" s="2" t="s">
        <v>791</v>
      </c>
      <c r="G6" s="2" t="n">
        <f aca="false">COUNTIF('Test cases'!$C$2:$C$139,A6)</f>
        <v>2</v>
      </c>
      <c r="H6" s="2" t="str">
        <f aca="false">IF(G6=0,"NO TEST CASE","Covered")</f>
        <v>Covered</v>
      </c>
      <c r="I6" s="2" t="s">
        <v>792</v>
      </c>
    </row>
    <row r="7" customFormat="false" ht="35.05" hidden="false" customHeight="false" outlineLevel="0" collapsed="false">
      <c r="A7" s="2" t="s">
        <v>63</v>
      </c>
      <c r="B7" s="2" t="s">
        <v>50</v>
      </c>
      <c r="C7" s="2" t="s">
        <v>789</v>
      </c>
      <c r="D7" s="2" t="s">
        <v>21</v>
      </c>
      <c r="E7" s="2" t="s">
        <v>793</v>
      </c>
      <c r="F7" s="2" t="s">
        <v>794</v>
      </c>
      <c r="G7" s="2" t="n">
        <f aca="false">COUNTIF('Test cases'!$C$2:$C$139,A7)</f>
        <v>2</v>
      </c>
      <c r="H7" s="2" t="str">
        <f aca="false">IF(G7=0,"NO TEST CASE","Covered")</f>
        <v>Covered</v>
      </c>
      <c r="I7" s="2"/>
    </row>
    <row r="8" customFormat="false" ht="15" hidden="false" customHeight="false" outlineLevel="0" collapsed="false">
      <c r="A8" s="2" t="s">
        <v>75</v>
      </c>
      <c r="B8" s="2" t="s">
        <v>50</v>
      </c>
      <c r="C8" s="2" t="s">
        <v>789</v>
      </c>
      <c r="D8" s="2" t="s">
        <v>21</v>
      </c>
      <c r="E8" s="2" t="s">
        <v>795</v>
      </c>
      <c r="F8" s="2" t="s">
        <v>796</v>
      </c>
      <c r="G8" s="2" t="n">
        <f aca="false">COUNTIF('Test cases'!$C$2:$C$139,A8)</f>
        <v>2</v>
      </c>
      <c r="H8" s="2" t="str">
        <f aca="false">IF(G8=0,"NO TEST CASE","Covered")</f>
        <v>Covered</v>
      </c>
      <c r="I8" s="2" t="s">
        <v>788</v>
      </c>
    </row>
    <row r="9" customFormat="false" ht="15" hidden="false" customHeight="false" outlineLevel="0" collapsed="false">
      <c r="A9" s="2" t="s">
        <v>86</v>
      </c>
      <c r="B9" s="2" t="s">
        <v>50</v>
      </c>
      <c r="C9" s="2" t="s">
        <v>789</v>
      </c>
      <c r="D9" s="2" t="s">
        <v>21</v>
      </c>
      <c r="E9" s="2" t="s">
        <v>797</v>
      </c>
      <c r="F9" s="2" t="s">
        <v>85</v>
      </c>
      <c r="G9" s="2" t="n">
        <f aca="false">COUNTIF('Test cases'!$C$2:$C$139,A9)</f>
        <v>1</v>
      </c>
      <c r="H9" s="2" t="str">
        <f aca="false">IF(G9=0,"NO TEST CASE","Covered")</f>
        <v>Covered</v>
      </c>
      <c r="I9" s="2" t="s">
        <v>798</v>
      </c>
    </row>
    <row r="10" customFormat="false" ht="15" hidden="false" customHeight="false" outlineLevel="0" collapsed="false">
      <c r="A10" s="2" t="s">
        <v>92</v>
      </c>
      <c r="B10" s="2" t="s">
        <v>50</v>
      </c>
      <c r="C10" s="2" t="s">
        <v>789</v>
      </c>
      <c r="D10" s="2" t="s">
        <v>21</v>
      </c>
      <c r="E10" s="2" t="s">
        <v>799</v>
      </c>
      <c r="F10" s="2" t="s">
        <v>91</v>
      </c>
      <c r="G10" s="2" t="n">
        <f aca="false">COUNTIF('Test cases'!$C$2:$C$139,A10)</f>
        <v>1</v>
      </c>
      <c r="H10" s="2" t="str">
        <f aca="false">IF(G10=0,"NO TEST CASE","Covered")</f>
        <v>Covered</v>
      </c>
      <c r="I10" s="2" t="s">
        <v>788</v>
      </c>
    </row>
    <row r="11" customFormat="false" ht="15" hidden="false" customHeight="false" outlineLevel="0" collapsed="false">
      <c r="A11" s="2" t="s">
        <v>98</v>
      </c>
      <c r="B11" s="2" t="s">
        <v>50</v>
      </c>
      <c r="C11" s="2" t="s">
        <v>789</v>
      </c>
      <c r="D11" s="2" t="s">
        <v>21</v>
      </c>
      <c r="E11" s="2" t="s">
        <v>800</v>
      </c>
      <c r="F11" s="2" t="s">
        <v>801</v>
      </c>
      <c r="G11" s="2" t="n">
        <f aca="false">COUNTIF('Test cases'!$C$2:$C$139,A11)</f>
        <v>2</v>
      </c>
      <c r="H11" s="2" t="str">
        <f aca="false">IF(G11=0,"NO TEST CASE","Covered")</f>
        <v>Covered</v>
      </c>
      <c r="I11" s="2"/>
    </row>
    <row r="12" customFormat="false" ht="23.85" hidden="false" customHeight="false" outlineLevel="0" collapsed="false">
      <c r="A12" s="2" t="s">
        <v>109</v>
      </c>
      <c r="B12" s="2" t="s">
        <v>50</v>
      </c>
      <c r="C12" s="2" t="s">
        <v>789</v>
      </c>
      <c r="D12" s="2" t="s">
        <v>21</v>
      </c>
      <c r="E12" s="2" t="s">
        <v>802</v>
      </c>
      <c r="F12" s="2" t="s">
        <v>803</v>
      </c>
      <c r="G12" s="2" t="n">
        <f aca="false">COUNTIF('Test cases'!$C$2:$C$139,A12)</f>
        <v>2</v>
      </c>
      <c r="H12" s="2" t="str">
        <f aca="false">IF(G12=0,"NO TEST CASE","Covered")</f>
        <v>Covered</v>
      </c>
      <c r="I12" s="2" t="s">
        <v>804</v>
      </c>
    </row>
    <row r="13" customFormat="false" ht="23.85" hidden="false" customHeight="false" outlineLevel="0" collapsed="false">
      <c r="A13" s="2" t="s">
        <v>121</v>
      </c>
      <c r="B13" s="2" t="s">
        <v>50</v>
      </c>
      <c r="C13" s="2" t="s">
        <v>789</v>
      </c>
      <c r="D13" s="2" t="s">
        <v>21</v>
      </c>
      <c r="E13" s="2" t="s">
        <v>805</v>
      </c>
      <c r="F13" s="2" t="s">
        <v>120</v>
      </c>
      <c r="G13" s="2" t="n">
        <f aca="false">COUNTIF('Test cases'!$C$2:$C$139,A13)</f>
        <v>1</v>
      </c>
      <c r="H13" s="2" t="str">
        <f aca="false">IF(G13=0,"NO TEST CASE","Covered")</f>
        <v>Covered</v>
      </c>
      <c r="I13" s="2"/>
    </row>
    <row r="14" customFormat="false" ht="15" hidden="false" customHeight="false" outlineLevel="0" collapsed="false">
      <c r="A14" s="2" t="s">
        <v>127</v>
      </c>
      <c r="B14" s="2" t="s">
        <v>50</v>
      </c>
      <c r="C14" s="2" t="s">
        <v>789</v>
      </c>
      <c r="D14" s="2" t="s">
        <v>21</v>
      </c>
      <c r="E14" s="2" t="s">
        <v>806</v>
      </c>
      <c r="F14" s="2" t="s">
        <v>126</v>
      </c>
      <c r="G14" s="2" t="n">
        <f aca="false">COUNTIF('Test cases'!$C$2:$C$139,A14)</f>
        <v>1</v>
      </c>
      <c r="H14" s="2" t="str">
        <f aca="false">IF(G14=0,"NO TEST CASE","Covered")</f>
        <v>Covered</v>
      </c>
      <c r="I14" s="2"/>
    </row>
    <row r="15" customFormat="false" ht="15" hidden="false" customHeight="false" outlineLevel="0" collapsed="false">
      <c r="A15" s="2" t="s">
        <v>134</v>
      </c>
      <c r="B15" s="2" t="s">
        <v>133</v>
      </c>
      <c r="C15" s="2" t="s">
        <v>807</v>
      </c>
      <c r="D15" s="2" t="s">
        <v>137</v>
      </c>
      <c r="E15" s="2" t="s">
        <v>808</v>
      </c>
      <c r="F15" s="2" t="s">
        <v>132</v>
      </c>
      <c r="G15" s="2" t="n">
        <f aca="false">COUNTIF('Test cases'!$C$2:$C$139,A15)</f>
        <v>1</v>
      </c>
      <c r="H15" s="2" t="str">
        <f aca="false">IF(G15=0,"NO TEST CASE","Covered")</f>
        <v>Covered</v>
      </c>
      <c r="I15" s="2" t="s">
        <v>792</v>
      </c>
    </row>
    <row r="16" customFormat="false" ht="23.85" hidden="false" customHeight="false" outlineLevel="0" collapsed="false">
      <c r="A16" s="2" t="s">
        <v>141</v>
      </c>
      <c r="B16" s="2" t="s">
        <v>140</v>
      </c>
      <c r="C16" s="2" t="s">
        <v>809</v>
      </c>
      <c r="D16" s="2" t="s">
        <v>21</v>
      </c>
      <c r="E16" s="2" t="s">
        <v>810</v>
      </c>
      <c r="F16" s="2" t="s">
        <v>811</v>
      </c>
      <c r="G16" s="2" t="n">
        <f aca="false">COUNTIF('Test cases'!$C$2:$C$139,A16)</f>
        <v>2</v>
      </c>
      <c r="H16" s="2" t="str">
        <f aca="false">IF(G16=0,"NO TEST CASE","Covered")</f>
        <v>Covered</v>
      </c>
      <c r="I16" s="2" t="s">
        <v>798</v>
      </c>
    </row>
    <row r="17" customFormat="false" ht="113.4" hidden="false" customHeight="false" outlineLevel="0" collapsed="false">
      <c r="A17" s="2" t="s">
        <v>153</v>
      </c>
      <c r="B17" s="2" t="s">
        <v>140</v>
      </c>
      <c r="C17" s="2" t="s">
        <v>809</v>
      </c>
      <c r="D17" s="2" t="s">
        <v>21</v>
      </c>
      <c r="E17" s="2" t="s">
        <v>812</v>
      </c>
      <c r="F17" s="2" t="s">
        <v>152</v>
      </c>
      <c r="G17" s="2" t="n">
        <f aca="false">COUNTIF('Test cases'!$C$2:$C$139,A17)</f>
        <v>1</v>
      </c>
      <c r="H17" s="2" t="str">
        <f aca="false">IF(G17=0,"NO TEST CASE","Covered")</f>
        <v>Covered</v>
      </c>
      <c r="I17" s="2"/>
    </row>
    <row r="18" customFormat="false" ht="23.85" hidden="false" customHeight="false" outlineLevel="0" collapsed="false">
      <c r="A18" s="2" t="s">
        <v>158</v>
      </c>
      <c r="B18" s="2" t="s">
        <v>140</v>
      </c>
      <c r="C18" s="2" t="s">
        <v>809</v>
      </c>
      <c r="D18" s="2" t="s">
        <v>21</v>
      </c>
      <c r="E18" s="2" t="s">
        <v>813</v>
      </c>
      <c r="F18" s="2" t="s">
        <v>814</v>
      </c>
      <c r="G18" s="2" t="n">
        <f aca="false">COUNTIF('Test cases'!$C$2:$C$139,A18)</f>
        <v>2</v>
      </c>
      <c r="H18" s="2" t="str">
        <f aca="false">IF(G18=0,"NO TEST CASE","Covered")</f>
        <v>Covered</v>
      </c>
      <c r="I18" s="2" t="s">
        <v>815</v>
      </c>
    </row>
    <row r="19" customFormat="false" ht="23.85" hidden="false" customHeight="false" outlineLevel="0" collapsed="false">
      <c r="A19" s="2" t="s">
        <v>170</v>
      </c>
      <c r="B19" s="2" t="s">
        <v>140</v>
      </c>
      <c r="C19" s="2" t="s">
        <v>809</v>
      </c>
      <c r="D19" s="2" t="s">
        <v>21</v>
      </c>
      <c r="E19" s="2" t="s">
        <v>816</v>
      </c>
      <c r="F19" s="2" t="s">
        <v>169</v>
      </c>
      <c r="G19" s="2" t="n">
        <f aca="false">COUNTIF('Test cases'!$C$2:$C$139,A19)</f>
        <v>1</v>
      </c>
      <c r="H19" s="2" t="str">
        <f aca="false">IF(G19=0,"NO TEST CASE","Covered")</f>
        <v>Covered</v>
      </c>
      <c r="I19" s="2" t="s">
        <v>817</v>
      </c>
    </row>
    <row r="20" customFormat="false" ht="23.85" hidden="false" customHeight="false" outlineLevel="0" collapsed="false">
      <c r="A20" s="2" t="s">
        <v>176</v>
      </c>
      <c r="B20" s="2" t="s">
        <v>140</v>
      </c>
      <c r="C20" s="2" t="s">
        <v>809</v>
      </c>
      <c r="D20" s="2" t="s">
        <v>21</v>
      </c>
      <c r="E20" s="2" t="s">
        <v>818</v>
      </c>
      <c r="F20" s="2" t="s">
        <v>175</v>
      </c>
      <c r="G20" s="2" t="n">
        <f aca="false">COUNTIF('Test cases'!$C$2:$C$139,A20)</f>
        <v>1</v>
      </c>
      <c r="H20" s="2" t="str">
        <f aca="false">IF(G20=0,"NO TEST CASE","Covered")</f>
        <v>Covered</v>
      </c>
      <c r="I20" s="2" t="s">
        <v>819</v>
      </c>
    </row>
    <row r="21" customFormat="false" ht="23.85" hidden="false" customHeight="false" outlineLevel="0" collapsed="false">
      <c r="A21" s="2" t="s">
        <v>182</v>
      </c>
      <c r="B21" s="2" t="s">
        <v>140</v>
      </c>
      <c r="C21" s="2" t="s">
        <v>809</v>
      </c>
      <c r="D21" s="2" t="s">
        <v>21</v>
      </c>
      <c r="E21" s="2" t="s">
        <v>820</v>
      </c>
      <c r="F21" s="2" t="s">
        <v>181</v>
      </c>
      <c r="G21" s="2" t="n">
        <f aca="false">COUNTIF('Test cases'!$C$2:$C$139,A21)</f>
        <v>1</v>
      </c>
      <c r="H21" s="2" t="str">
        <f aca="false">IF(G21=0,"NO TEST CASE","Covered")</f>
        <v>Covered</v>
      </c>
      <c r="I21" s="2" t="s">
        <v>821</v>
      </c>
    </row>
    <row r="22" customFormat="false" ht="23.85" hidden="false" customHeight="false" outlineLevel="0" collapsed="false">
      <c r="A22" s="2" t="s">
        <v>188</v>
      </c>
      <c r="B22" s="2" t="s">
        <v>187</v>
      </c>
      <c r="C22" s="2" t="s">
        <v>822</v>
      </c>
      <c r="D22" s="2" t="s">
        <v>21</v>
      </c>
      <c r="E22" s="2" t="s">
        <v>823</v>
      </c>
      <c r="F22" s="2" t="s">
        <v>186</v>
      </c>
      <c r="G22" s="2" t="n">
        <f aca="false">COUNTIF('Test cases'!$C$2:$C$139,A22)</f>
        <v>1</v>
      </c>
      <c r="H22" s="2" t="str">
        <f aca="false">IF(G22=0,"NO TEST CASE","Covered")</f>
        <v>Covered</v>
      </c>
      <c r="I22" s="2" t="s">
        <v>824</v>
      </c>
    </row>
    <row r="23" customFormat="false" ht="23.85" hidden="false" customHeight="false" outlineLevel="0" collapsed="false">
      <c r="A23" s="2" t="s">
        <v>195</v>
      </c>
      <c r="B23" s="2" t="s">
        <v>187</v>
      </c>
      <c r="C23" s="2" t="s">
        <v>822</v>
      </c>
      <c r="D23" s="2" t="s">
        <v>21</v>
      </c>
      <c r="E23" s="2" t="s">
        <v>825</v>
      </c>
      <c r="F23" s="2" t="s">
        <v>194</v>
      </c>
      <c r="G23" s="2" t="n">
        <f aca="false">COUNTIF('Test cases'!$C$2:$C$139,A23)</f>
        <v>1</v>
      </c>
      <c r="H23" s="2" t="str">
        <f aca="false">IF(G23=0,"NO TEST CASE","Covered")</f>
        <v>Covered</v>
      </c>
      <c r="I23" s="2" t="s">
        <v>824</v>
      </c>
    </row>
    <row r="24" customFormat="false" ht="23.85" hidden="false" customHeight="false" outlineLevel="0" collapsed="false">
      <c r="A24" s="2" t="s">
        <v>200</v>
      </c>
      <c r="B24" s="2" t="s">
        <v>187</v>
      </c>
      <c r="C24" s="2" t="s">
        <v>822</v>
      </c>
      <c r="D24" s="2" t="s">
        <v>21</v>
      </c>
      <c r="E24" s="2" t="s">
        <v>826</v>
      </c>
      <c r="F24" s="2" t="s">
        <v>827</v>
      </c>
      <c r="G24" s="2" t="n">
        <f aca="false">COUNTIF('Test cases'!$C$2:$C$139,A24)</f>
        <v>2</v>
      </c>
      <c r="H24" s="2" t="str">
        <f aca="false">IF(G24=0,"NO TEST CASE","Covered")</f>
        <v>Covered</v>
      </c>
      <c r="I24" s="2" t="s">
        <v>798</v>
      </c>
    </row>
    <row r="25" customFormat="false" ht="23.85" hidden="false" customHeight="false" outlineLevel="0" collapsed="false">
      <c r="A25" s="2" t="s">
        <v>211</v>
      </c>
      <c r="B25" s="2" t="s">
        <v>187</v>
      </c>
      <c r="C25" s="2" t="s">
        <v>822</v>
      </c>
      <c r="D25" s="2" t="s">
        <v>21</v>
      </c>
      <c r="E25" s="2" t="s">
        <v>828</v>
      </c>
      <c r="F25" s="2" t="s">
        <v>829</v>
      </c>
      <c r="G25" s="2" t="n">
        <f aca="false">COUNTIF('Test cases'!$C$2:$C$139,A25)</f>
        <v>2</v>
      </c>
      <c r="H25" s="2" t="str">
        <f aca="false">IF(G25=0,"NO TEST CASE","Covered")</f>
        <v>Covered</v>
      </c>
      <c r="I25" s="2"/>
    </row>
    <row r="26" customFormat="false" ht="23.85" hidden="false" customHeight="false" outlineLevel="0" collapsed="false">
      <c r="A26" s="2" t="s">
        <v>218</v>
      </c>
      <c r="B26" s="2" t="s">
        <v>187</v>
      </c>
      <c r="C26" s="2" t="s">
        <v>822</v>
      </c>
      <c r="D26" s="2" t="s">
        <v>21</v>
      </c>
      <c r="E26" s="2" t="s">
        <v>830</v>
      </c>
      <c r="F26" s="2" t="s">
        <v>831</v>
      </c>
      <c r="G26" s="2" t="n">
        <f aca="false">COUNTIF('Test cases'!$C$2:$C$139,A26)</f>
        <v>3</v>
      </c>
      <c r="H26" s="2" t="str">
        <f aca="false">IF(G26=0,"NO TEST CASE","Covered")</f>
        <v>Covered</v>
      </c>
      <c r="I26" s="2"/>
    </row>
    <row r="27" customFormat="false" ht="23.85" hidden="false" customHeight="false" outlineLevel="0" collapsed="false">
      <c r="A27" s="2" t="s">
        <v>230</v>
      </c>
      <c r="B27" s="2" t="s">
        <v>187</v>
      </c>
      <c r="C27" s="2" t="s">
        <v>822</v>
      </c>
      <c r="D27" s="2" t="s">
        <v>21</v>
      </c>
      <c r="E27" s="2" t="s">
        <v>832</v>
      </c>
      <c r="F27" s="2" t="s">
        <v>229</v>
      </c>
      <c r="G27" s="2" t="n">
        <f aca="false">COUNTIF('Test cases'!$C$2:$C$139,A27)</f>
        <v>1</v>
      </c>
      <c r="H27" s="2" t="str">
        <f aca="false">IF(G27=0,"NO TEST CASE","Covered")</f>
        <v>Covered</v>
      </c>
      <c r="I27" s="2" t="s">
        <v>833</v>
      </c>
    </row>
    <row r="28" customFormat="false" ht="23.85" hidden="false" customHeight="false" outlineLevel="0" collapsed="false">
      <c r="A28" s="2" t="s">
        <v>235</v>
      </c>
      <c r="B28" s="2" t="s">
        <v>187</v>
      </c>
      <c r="C28" s="2" t="s">
        <v>822</v>
      </c>
      <c r="D28" s="2" t="s">
        <v>21</v>
      </c>
      <c r="E28" s="2" t="s">
        <v>832</v>
      </c>
      <c r="F28" s="2" t="s">
        <v>234</v>
      </c>
      <c r="G28" s="2" t="n">
        <f aca="false">COUNTIF('Test cases'!$C$2:$C$139,A28)</f>
        <v>1</v>
      </c>
      <c r="H28" s="2" t="str">
        <f aca="false">IF(G28=0,"NO TEST CASE","Covered")</f>
        <v>Covered</v>
      </c>
      <c r="I28" s="2" t="s">
        <v>833</v>
      </c>
    </row>
    <row r="29" customFormat="false" ht="23.85" hidden="false" customHeight="false" outlineLevel="0" collapsed="false">
      <c r="A29" s="2" t="s">
        <v>240</v>
      </c>
      <c r="B29" s="2" t="s">
        <v>187</v>
      </c>
      <c r="C29" s="2" t="s">
        <v>822</v>
      </c>
      <c r="D29" s="2" t="s">
        <v>21</v>
      </c>
      <c r="E29" s="2" t="s">
        <v>834</v>
      </c>
      <c r="F29" s="2" t="s">
        <v>239</v>
      </c>
      <c r="G29" s="2" t="n">
        <f aca="false">COUNTIF('Test cases'!$C$2:$C$139,A29)</f>
        <v>1</v>
      </c>
      <c r="H29" s="2" t="str">
        <f aca="false">IF(G29=0,"NO TEST CASE","Covered")</f>
        <v>Covered</v>
      </c>
      <c r="I29" s="2"/>
    </row>
    <row r="30" customFormat="false" ht="15" hidden="false" customHeight="false" outlineLevel="0" collapsed="false">
      <c r="A30" s="2" t="s">
        <v>245</v>
      </c>
      <c r="B30" s="2" t="s">
        <v>244</v>
      </c>
      <c r="C30" s="2" t="s">
        <v>835</v>
      </c>
      <c r="D30" s="2" t="s">
        <v>21</v>
      </c>
      <c r="E30" s="2" t="s">
        <v>836</v>
      </c>
      <c r="F30" s="2" t="s">
        <v>243</v>
      </c>
      <c r="G30" s="2" t="n">
        <f aca="false">COUNTIF('Test cases'!$C$2:$C$139,A30)</f>
        <v>1</v>
      </c>
      <c r="H30" s="2" t="str">
        <f aca="false">IF(G30=0,"NO TEST CASE","Covered")</f>
        <v>Covered</v>
      </c>
      <c r="I30" s="2"/>
    </row>
    <row r="31" customFormat="false" ht="15" hidden="false" customHeight="false" outlineLevel="0" collapsed="false">
      <c r="A31" s="2" t="s">
        <v>251</v>
      </c>
      <c r="B31" s="2" t="s">
        <v>244</v>
      </c>
      <c r="C31" s="2" t="s">
        <v>835</v>
      </c>
      <c r="D31" s="2" t="s">
        <v>21</v>
      </c>
      <c r="E31" s="2" t="s">
        <v>837</v>
      </c>
      <c r="F31" s="2" t="s">
        <v>250</v>
      </c>
      <c r="G31" s="2" t="n">
        <f aca="false">COUNTIF('Test cases'!$C$2:$C$139,A31)</f>
        <v>1</v>
      </c>
      <c r="H31" s="2" t="str">
        <f aca="false">IF(G31=0,"NO TEST CASE","Covered")</f>
        <v>Covered</v>
      </c>
      <c r="I31" s="2"/>
    </row>
    <row r="32" customFormat="false" ht="15" hidden="false" customHeight="false" outlineLevel="0" collapsed="false">
      <c r="A32" s="2" t="s">
        <v>256</v>
      </c>
      <c r="B32" s="2" t="s">
        <v>244</v>
      </c>
      <c r="C32" s="2" t="s">
        <v>835</v>
      </c>
      <c r="D32" s="2" t="s">
        <v>21</v>
      </c>
      <c r="E32" s="2" t="s">
        <v>838</v>
      </c>
      <c r="F32" s="2" t="s">
        <v>839</v>
      </c>
      <c r="G32" s="2" t="n">
        <f aca="false">COUNTIF('Test cases'!$C$2:$C$139,A32)</f>
        <v>3</v>
      </c>
      <c r="H32" s="2" t="str">
        <f aca="false">IF(G32=0,"NO TEST CASE","Covered")</f>
        <v>Covered</v>
      </c>
      <c r="I32" s="2" t="s">
        <v>788</v>
      </c>
    </row>
    <row r="33" customFormat="false" ht="23.85" hidden="false" customHeight="false" outlineLevel="0" collapsed="false">
      <c r="A33" s="2" t="s">
        <v>272</v>
      </c>
      <c r="B33" s="2" t="s">
        <v>271</v>
      </c>
      <c r="C33" s="2" t="s">
        <v>840</v>
      </c>
      <c r="D33" s="2" t="s">
        <v>21</v>
      </c>
      <c r="E33" s="2" t="s">
        <v>841</v>
      </c>
      <c r="F33" s="2" t="s">
        <v>270</v>
      </c>
      <c r="G33" s="2" t="n">
        <f aca="false">COUNTIF('Test cases'!$C$2:$C$139,A33)</f>
        <v>1</v>
      </c>
      <c r="H33" s="2" t="str">
        <f aca="false">IF(G33=0,"NO TEST CASE","Covered")</f>
        <v>Covered</v>
      </c>
      <c r="I33" s="2" t="s">
        <v>842</v>
      </c>
    </row>
    <row r="34" customFormat="false" ht="23.85" hidden="false" customHeight="false" outlineLevel="0" collapsed="false">
      <c r="A34" s="2" t="s">
        <v>278</v>
      </c>
      <c r="B34" s="2" t="s">
        <v>271</v>
      </c>
      <c r="C34" s="2" t="s">
        <v>840</v>
      </c>
      <c r="D34" s="2" t="s">
        <v>21</v>
      </c>
      <c r="E34" s="2" t="s">
        <v>843</v>
      </c>
      <c r="F34" s="2" t="s">
        <v>844</v>
      </c>
      <c r="G34" s="2" t="n">
        <f aca="false">COUNTIF('Test cases'!$C$2:$C$139,A34)</f>
        <v>3</v>
      </c>
      <c r="H34" s="2" t="str">
        <f aca="false">IF(G34=0,"NO TEST CASE","Covered")</f>
        <v>Covered</v>
      </c>
      <c r="I34" s="2" t="s">
        <v>788</v>
      </c>
    </row>
    <row r="35" customFormat="false" ht="23.85" hidden="false" customHeight="false" outlineLevel="0" collapsed="false">
      <c r="A35" s="2" t="s">
        <v>292</v>
      </c>
      <c r="B35" s="2" t="s">
        <v>271</v>
      </c>
      <c r="C35" s="2" t="s">
        <v>840</v>
      </c>
      <c r="D35" s="2" t="s">
        <v>21</v>
      </c>
      <c r="E35" s="2" t="s">
        <v>845</v>
      </c>
      <c r="F35" s="2" t="s">
        <v>291</v>
      </c>
      <c r="G35" s="2" t="n">
        <f aca="false">COUNTIF('Test cases'!$C$2:$C$139,A35)</f>
        <v>1</v>
      </c>
      <c r="H35" s="2" t="str">
        <f aca="false">IF(G35=0,"NO TEST CASE","Covered")</f>
        <v>Covered</v>
      </c>
      <c r="I35" s="2"/>
    </row>
    <row r="36" customFormat="false" ht="23.85" hidden="false" customHeight="false" outlineLevel="0" collapsed="false">
      <c r="A36" s="2" t="s">
        <v>296</v>
      </c>
      <c r="B36" s="2" t="s">
        <v>271</v>
      </c>
      <c r="C36" s="2" t="s">
        <v>840</v>
      </c>
      <c r="D36" s="2" t="s">
        <v>21</v>
      </c>
      <c r="E36" s="2" t="s">
        <v>845</v>
      </c>
      <c r="F36" s="2" t="s">
        <v>295</v>
      </c>
      <c r="G36" s="2" t="n">
        <f aca="false">COUNTIF('Test cases'!$C$2:$C$139,A36)</f>
        <v>1</v>
      </c>
      <c r="H36" s="2" t="str">
        <f aca="false">IF(G36=0,"NO TEST CASE","Covered")</f>
        <v>Covered</v>
      </c>
      <c r="I36" s="2" t="s">
        <v>788</v>
      </c>
    </row>
    <row r="37" customFormat="false" ht="23.85" hidden="false" customHeight="false" outlineLevel="0" collapsed="false">
      <c r="A37" s="2" t="s">
        <v>302</v>
      </c>
      <c r="B37" s="2" t="s">
        <v>271</v>
      </c>
      <c r="C37" s="2" t="s">
        <v>840</v>
      </c>
      <c r="D37" s="2" t="s">
        <v>21</v>
      </c>
      <c r="E37" s="2" t="s">
        <v>846</v>
      </c>
      <c r="F37" s="2" t="s">
        <v>847</v>
      </c>
      <c r="G37" s="2" t="n">
        <f aca="false">COUNTIF('Test cases'!$C$2:$C$139,A37)</f>
        <v>6</v>
      </c>
      <c r="H37" s="2" t="str">
        <f aca="false">IF(G37=0,"NO TEST CASE","Covered")</f>
        <v>Covered</v>
      </c>
      <c r="I37" s="2"/>
    </row>
    <row r="38" customFormat="false" ht="23.85" hidden="false" customHeight="false" outlineLevel="0" collapsed="false">
      <c r="A38" s="2" t="s">
        <v>323</v>
      </c>
      <c r="B38" s="2" t="s">
        <v>271</v>
      </c>
      <c r="C38" s="2" t="s">
        <v>840</v>
      </c>
      <c r="D38" s="2" t="s">
        <v>21</v>
      </c>
      <c r="E38" s="2" t="s">
        <v>848</v>
      </c>
      <c r="F38" s="2" t="s">
        <v>849</v>
      </c>
      <c r="G38" s="2" t="n">
        <f aca="false">COUNTIF('Test cases'!$C$2:$C$139,A38)</f>
        <v>2</v>
      </c>
      <c r="H38" s="2" t="str">
        <f aca="false">IF(G38=0,"NO TEST CASE","Covered")</f>
        <v>Covered</v>
      </c>
      <c r="I38" s="2"/>
    </row>
    <row r="39" customFormat="false" ht="23.85" hidden="false" customHeight="false" outlineLevel="0" collapsed="false">
      <c r="A39" s="2" t="s">
        <v>330</v>
      </c>
      <c r="B39" s="2" t="s">
        <v>271</v>
      </c>
      <c r="C39" s="2" t="s">
        <v>840</v>
      </c>
      <c r="D39" s="2" t="s">
        <v>21</v>
      </c>
      <c r="E39" s="2" t="s">
        <v>850</v>
      </c>
      <c r="F39" s="2" t="s">
        <v>329</v>
      </c>
      <c r="G39" s="2" t="n">
        <f aca="false">COUNTIF('Test cases'!$C$2:$C$139,A39)</f>
        <v>1</v>
      </c>
      <c r="H39" s="2" t="str">
        <f aca="false">IF(G39=0,"NO TEST CASE","Covered")</f>
        <v>Covered</v>
      </c>
      <c r="I39" s="2"/>
    </row>
    <row r="40" customFormat="false" ht="23.85" hidden="false" customHeight="false" outlineLevel="0" collapsed="false">
      <c r="A40" s="2" t="s">
        <v>335</v>
      </c>
      <c r="B40" s="2" t="s">
        <v>271</v>
      </c>
      <c r="C40" s="2" t="s">
        <v>840</v>
      </c>
      <c r="D40" s="2" t="s">
        <v>21</v>
      </c>
      <c r="E40" s="2" t="s">
        <v>851</v>
      </c>
      <c r="F40" s="2" t="s">
        <v>334</v>
      </c>
      <c r="G40" s="2" t="n">
        <f aca="false">COUNTIF('Test cases'!$C$2:$C$139,A40)</f>
        <v>1</v>
      </c>
      <c r="H40" s="2" t="str">
        <f aca="false">IF(G40=0,"NO TEST CASE","Covered")</f>
        <v>Covered</v>
      </c>
      <c r="I40" s="2" t="s">
        <v>788</v>
      </c>
    </row>
    <row r="41" customFormat="false" ht="15" hidden="false" customHeight="false" outlineLevel="0" collapsed="false">
      <c r="A41" s="2" t="s">
        <v>341</v>
      </c>
      <c r="B41" s="2" t="s">
        <v>340</v>
      </c>
      <c r="C41" s="2" t="s">
        <v>852</v>
      </c>
      <c r="D41" s="2" t="s">
        <v>21</v>
      </c>
      <c r="E41" s="2" t="s">
        <v>853</v>
      </c>
      <c r="F41" s="2" t="s">
        <v>339</v>
      </c>
      <c r="G41" s="2" t="n">
        <f aca="false">COUNTIF('Test cases'!$C$2:$C$139,A41)</f>
        <v>1</v>
      </c>
      <c r="H41" s="2" t="str">
        <f aca="false">IF(G41=0,"NO TEST CASE","Covered")</f>
        <v>Covered</v>
      </c>
      <c r="I41" s="2" t="s">
        <v>798</v>
      </c>
    </row>
    <row r="42" customFormat="false" ht="23.85" hidden="false" customHeight="false" outlineLevel="0" collapsed="false">
      <c r="A42" s="2" t="s">
        <v>347</v>
      </c>
      <c r="B42" s="2" t="s">
        <v>340</v>
      </c>
      <c r="C42" s="2" t="s">
        <v>852</v>
      </c>
      <c r="D42" s="2" t="s">
        <v>21</v>
      </c>
      <c r="E42" s="2" t="s">
        <v>854</v>
      </c>
      <c r="F42" s="2" t="s">
        <v>855</v>
      </c>
      <c r="G42" s="2" t="n">
        <f aca="false">COUNTIF('Test cases'!$C$2:$C$139,A42)</f>
        <v>2</v>
      </c>
      <c r="H42" s="2" t="str">
        <f aca="false">IF(G42=0,"NO TEST CASE","Covered")</f>
        <v>Covered</v>
      </c>
      <c r="I42" s="2"/>
    </row>
    <row r="43" customFormat="false" ht="23.85" hidden="false" customHeight="false" outlineLevel="0" collapsed="false">
      <c r="A43" s="2" t="s">
        <v>357</v>
      </c>
      <c r="B43" s="2" t="s">
        <v>356</v>
      </c>
      <c r="C43" s="2" t="s">
        <v>856</v>
      </c>
      <c r="D43" s="2" t="s">
        <v>21</v>
      </c>
      <c r="E43" s="2" t="s">
        <v>857</v>
      </c>
      <c r="F43" s="2" t="s">
        <v>858</v>
      </c>
      <c r="G43" s="2" t="n">
        <f aca="false">COUNTIF('Test cases'!$C$2:$C$139,A43)</f>
        <v>3</v>
      </c>
      <c r="H43" s="2" t="str">
        <f aca="false">IF(G43=0,"NO TEST CASE","Covered")</f>
        <v>Covered</v>
      </c>
      <c r="I43" s="2" t="s">
        <v>859</v>
      </c>
    </row>
    <row r="44" customFormat="false" ht="15" hidden="false" customHeight="false" outlineLevel="0" collapsed="false">
      <c r="A44" s="2" t="s">
        <v>372</v>
      </c>
      <c r="B44" s="2" t="s">
        <v>356</v>
      </c>
      <c r="C44" s="2" t="s">
        <v>856</v>
      </c>
      <c r="D44" s="2" t="s">
        <v>21</v>
      </c>
      <c r="E44" s="2" t="s">
        <v>860</v>
      </c>
      <c r="F44" s="2" t="s">
        <v>371</v>
      </c>
      <c r="G44" s="2" t="n">
        <f aca="false">COUNTIF('Test cases'!$C$2:$C$139,A44)</f>
        <v>1</v>
      </c>
      <c r="H44" s="2" t="str">
        <f aca="false">IF(G44=0,"NO TEST CASE","Covered")</f>
        <v>Covered</v>
      </c>
      <c r="I44" s="2" t="s">
        <v>859</v>
      </c>
    </row>
    <row r="45" customFormat="false" ht="23.85" hidden="false" customHeight="false" outlineLevel="0" collapsed="false">
      <c r="A45" s="2" t="s">
        <v>378</v>
      </c>
      <c r="B45" s="2" t="s">
        <v>377</v>
      </c>
      <c r="C45" s="2" t="s">
        <v>861</v>
      </c>
      <c r="D45" s="2" t="s">
        <v>21</v>
      </c>
      <c r="E45" s="2" t="s">
        <v>862</v>
      </c>
      <c r="F45" s="2" t="s">
        <v>376</v>
      </c>
      <c r="G45" s="2" t="n">
        <f aca="false">COUNTIF('Test cases'!$C$2:$C$139,A45)</f>
        <v>1</v>
      </c>
      <c r="H45" s="2" t="str">
        <f aca="false">IF(G45=0,"NO TEST CASE","Covered")</f>
        <v>Covered</v>
      </c>
      <c r="I45" s="2"/>
    </row>
    <row r="46" customFormat="false" ht="15" hidden="false" customHeight="false" outlineLevel="0" collapsed="false">
      <c r="A46" s="2" t="s">
        <v>384</v>
      </c>
      <c r="B46" s="2" t="s">
        <v>377</v>
      </c>
      <c r="C46" s="2" t="s">
        <v>861</v>
      </c>
      <c r="D46" s="2" t="s">
        <v>21</v>
      </c>
      <c r="E46" s="2" t="s">
        <v>863</v>
      </c>
      <c r="F46" s="2" t="s">
        <v>383</v>
      </c>
      <c r="G46" s="2" t="n">
        <f aca="false">COUNTIF('Test cases'!$C$2:$C$139,A46)</f>
        <v>1</v>
      </c>
      <c r="H46" s="2" t="str">
        <f aca="false">IF(G46=0,"NO TEST CASE","Covered")</f>
        <v>Covered</v>
      </c>
      <c r="I46" s="2"/>
    </row>
    <row r="47" customFormat="false" ht="23.85" hidden="false" customHeight="false" outlineLevel="0" collapsed="false">
      <c r="A47" s="2" t="s">
        <v>390</v>
      </c>
      <c r="B47" s="2" t="s">
        <v>389</v>
      </c>
      <c r="C47" s="2" t="s">
        <v>864</v>
      </c>
      <c r="D47" s="2" t="s">
        <v>137</v>
      </c>
      <c r="E47" s="2" t="s">
        <v>865</v>
      </c>
      <c r="F47" s="2" t="s">
        <v>388</v>
      </c>
      <c r="G47" s="2" t="n">
        <f aca="false">COUNTIF('Test cases'!$C$2:$C$139,A47)</f>
        <v>1</v>
      </c>
      <c r="H47" s="2" t="str">
        <f aca="false">IF(G47=0,"NO TEST CASE","Covered")</f>
        <v>Covered</v>
      </c>
      <c r="I47" s="2"/>
    </row>
    <row r="48" customFormat="false" ht="23.85" hidden="false" customHeight="false" outlineLevel="0" collapsed="false">
      <c r="A48" s="2" t="s">
        <v>396</v>
      </c>
      <c r="B48" s="2" t="s">
        <v>395</v>
      </c>
      <c r="C48" s="2" t="s">
        <v>866</v>
      </c>
      <c r="D48" s="2" t="s">
        <v>21</v>
      </c>
      <c r="E48" s="2" t="s">
        <v>867</v>
      </c>
      <c r="F48" s="2" t="s">
        <v>868</v>
      </c>
      <c r="G48" s="2" t="n">
        <f aca="false">COUNTIF('Test cases'!$C$2:$C$139,A48)</f>
        <v>5</v>
      </c>
      <c r="H48" s="2" t="str">
        <f aca="false">IF(G48=0,"NO TEST CASE","Covered")</f>
        <v>Covered</v>
      </c>
      <c r="I48" s="2" t="s">
        <v>869</v>
      </c>
    </row>
    <row r="49" customFormat="false" ht="23.85" hidden="false" customHeight="false" outlineLevel="0" collapsed="false">
      <c r="A49" s="2" t="s">
        <v>425</v>
      </c>
      <c r="B49" s="2" t="s">
        <v>395</v>
      </c>
      <c r="C49" s="2" t="s">
        <v>866</v>
      </c>
      <c r="D49" s="2" t="s">
        <v>21</v>
      </c>
      <c r="E49" s="2" t="s">
        <v>870</v>
      </c>
      <c r="F49" s="2" t="s">
        <v>871</v>
      </c>
      <c r="G49" s="2" t="n">
        <f aca="false">COUNTIF('Test cases'!$C$2:$C$139,A49)</f>
        <v>2</v>
      </c>
      <c r="H49" s="2" t="str">
        <f aca="false">IF(G49=0,"NO TEST CASE","Covered")</f>
        <v>Covered</v>
      </c>
      <c r="I49" s="2" t="s">
        <v>869</v>
      </c>
    </row>
    <row r="50" customFormat="false" ht="23.85" hidden="false" customHeight="false" outlineLevel="0" collapsed="false">
      <c r="A50" s="2" t="s">
        <v>436</v>
      </c>
      <c r="B50" s="2" t="s">
        <v>395</v>
      </c>
      <c r="C50" s="2" t="s">
        <v>866</v>
      </c>
      <c r="D50" s="2" t="s">
        <v>21</v>
      </c>
      <c r="E50" s="2" t="s">
        <v>872</v>
      </c>
      <c r="F50" s="2" t="s">
        <v>435</v>
      </c>
      <c r="G50" s="2" t="n">
        <f aca="false">COUNTIF('Test cases'!$C$2:$C$139,A50)</f>
        <v>1</v>
      </c>
      <c r="H50" s="2" t="str">
        <f aca="false">IF(G50=0,"NO TEST CASE","Covered")</f>
        <v>Covered</v>
      </c>
      <c r="I50" s="2" t="s">
        <v>873</v>
      </c>
    </row>
    <row r="51" customFormat="false" ht="23.85" hidden="false" customHeight="false" outlineLevel="0" collapsed="false">
      <c r="A51" s="2" t="s">
        <v>442</v>
      </c>
      <c r="B51" s="2" t="s">
        <v>441</v>
      </c>
      <c r="C51" s="2" t="s">
        <v>874</v>
      </c>
      <c r="D51" s="2" t="s">
        <v>21</v>
      </c>
      <c r="E51" s="2" t="s">
        <v>875</v>
      </c>
      <c r="F51" s="2" t="s">
        <v>876</v>
      </c>
      <c r="G51" s="2" t="n">
        <f aca="false">COUNTIF('Test cases'!$C$2:$C$139,A51)</f>
        <v>3</v>
      </c>
      <c r="H51" s="2" t="str">
        <f aca="false">IF(G51=0,"NO TEST CASE","Covered")</f>
        <v>Covered</v>
      </c>
      <c r="I51" s="2" t="s">
        <v>788</v>
      </c>
    </row>
    <row r="52" customFormat="false" ht="23.85" hidden="false" customHeight="false" outlineLevel="0" collapsed="false">
      <c r="A52" s="2" t="s">
        <v>458</v>
      </c>
      <c r="B52" s="2" t="s">
        <v>441</v>
      </c>
      <c r="C52" s="2" t="s">
        <v>874</v>
      </c>
      <c r="D52" s="2" t="s">
        <v>21</v>
      </c>
      <c r="E52" s="2" t="s">
        <v>877</v>
      </c>
      <c r="F52" s="2" t="s">
        <v>878</v>
      </c>
      <c r="G52" s="2" t="n">
        <f aca="false">COUNTIF('Test cases'!$C$2:$C$139,A52)</f>
        <v>3</v>
      </c>
      <c r="H52" s="2" t="str">
        <f aca="false">IF(G52=0,"NO TEST CASE","Covered")</f>
        <v>Covered</v>
      </c>
      <c r="I52" s="2" t="s">
        <v>879</v>
      </c>
    </row>
    <row r="53" customFormat="false" ht="15" hidden="false" customHeight="false" outlineLevel="0" collapsed="false">
      <c r="A53" s="2" t="s">
        <v>477</v>
      </c>
      <c r="B53" s="2" t="s">
        <v>476</v>
      </c>
      <c r="C53" s="2" t="s">
        <v>880</v>
      </c>
      <c r="D53" s="2" t="s">
        <v>21</v>
      </c>
      <c r="E53" s="2" t="s">
        <v>881</v>
      </c>
      <c r="F53" s="2" t="s">
        <v>475</v>
      </c>
      <c r="G53" s="2" t="n">
        <f aca="false">COUNTIF('Test cases'!$C$2:$C$139,A53)</f>
        <v>1</v>
      </c>
      <c r="H53" s="2" t="str">
        <f aca="false">IF(G53=0,"NO TEST CASE","Covered")</f>
        <v>Covered</v>
      </c>
      <c r="I53" s="2"/>
    </row>
    <row r="54" customFormat="false" ht="15" hidden="false" customHeight="false" outlineLevel="0" collapsed="false">
      <c r="A54" s="2" t="s">
        <v>483</v>
      </c>
      <c r="B54" s="2" t="s">
        <v>476</v>
      </c>
      <c r="C54" s="2" t="s">
        <v>880</v>
      </c>
      <c r="D54" s="2" t="s">
        <v>21</v>
      </c>
      <c r="E54" s="2" t="s">
        <v>882</v>
      </c>
      <c r="F54" s="2" t="s">
        <v>482</v>
      </c>
      <c r="G54" s="2" t="n">
        <f aca="false">COUNTIF('Test cases'!$C$2:$C$139,A54)</f>
        <v>1</v>
      </c>
      <c r="H54" s="2" t="str">
        <f aca="false">IF(G54=0,"NO TEST CASE","Covered")</f>
        <v>Covered</v>
      </c>
      <c r="I54" s="2"/>
    </row>
    <row r="55" customFormat="false" ht="23.85" hidden="false" customHeight="false" outlineLevel="0" collapsed="false">
      <c r="A55" s="2" t="s">
        <v>488</v>
      </c>
      <c r="B55" s="2" t="s">
        <v>476</v>
      </c>
      <c r="C55" s="2" t="s">
        <v>880</v>
      </c>
      <c r="D55" s="2" t="s">
        <v>21</v>
      </c>
      <c r="E55" s="2" t="s">
        <v>883</v>
      </c>
      <c r="F55" s="2" t="s">
        <v>884</v>
      </c>
      <c r="G55" s="2" t="n">
        <f aca="false">COUNTIF('Test cases'!$C$2:$C$139,A55)</f>
        <v>3</v>
      </c>
      <c r="H55" s="2" t="str">
        <f aca="false">IF(G55=0,"NO TEST CASE","Covered")</f>
        <v>Covered</v>
      </c>
      <c r="I55" s="2" t="s">
        <v>788</v>
      </c>
    </row>
    <row r="56" customFormat="false" ht="15" hidden="false" customHeight="false" outlineLevel="0" collapsed="false">
      <c r="A56" s="2" t="s">
        <v>505</v>
      </c>
      <c r="B56" s="2" t="s">
        <v>476</v>
      </c>
      <c r="C56" s="2" t="s">
        <v>880</v>
      </c>
      <c r="D56" s="2" t="s">
        <v>21</v>
      </c>
      <c r="E56" s="2" t="s">
        <v>885</v>
      </c>
      <c r="F56" s="2" t="s">
        <v>504</v>
      </c>
      <c r="G56" s="2" t="n">
        <f aca="false">COUNTIF('Test cases'!$C$2:$C$139,A56)</f>
        <v>1</v>
      </c>
      <c r="H56" s="2" t="str">
        <f aca="false">IF(G56=0,"NO TEST CASE","Covered")</f>
        <v>Covered</v>
      </c>
      <c r="I56" s="2"/>
    </row>
    <row r="57" customFormat="false" ht="15" hidden="false" customHeight="false" outlineLevel="0" collapsed="false">
      <c r="A57" s="2" t="s">
        <v>512</v>
      </c>
      <c r="B57" s="2" t="s">
        <v>511</v>
      </c>
      <c r="C57" s="2" t="s">
        <v>886</v>
      </c>
      <c r="D57" s="2" t="s">
        <v>21</v>
      </c>
      <c r="E57" s="2" t="s">
        <v>887</v>
      </c>
      <c r="F57" s="2" t="s">
        <v>888</v>
      </c>
      <c r="G57" s="2" t="n">
        <f aca="false">COUNTIF('Test cases'!$C$2:$C$139,A57)</f>
        <v>2</v>
      </c>
      <c r="H57" s="2" t="str">
        <f aca="false">IF(G57=0,"NO TEST CASE","Covered")</f>
        <v>Covered</v>
      </c>
      <c r="I57" s="2" t="s">
        <v>788</v>
      </c>
    </row>
    <row r="58" customFormat="false" ht="15" hidden="false" customHeight="false" outlineLevel="0" collapsed="false">
      <c r="A58" s="2" t="s">
        <v>524</v>
      </c>
      <c r="B58" s="2" t="s">
        <v>511</v>
      </c>
      <c r="C58" s="2" t="s">
        <v>886</v>
      </c>
      <c r="D58" s="2" t="s">
        <v>21</v>
      </c>
      <c r="E58" s="2" t="s">
        <v>889</v>
      </c>
      <c r="F58" s="2" t="s">
        <v>890</v>
      </c>
      <c r="G58" s="2" t="n">
        <f aca="false">COUNTIF('Test cases'!$C$2:$C$139,A58)</f>
        <v>2</v>
      </c>
      <c r="H58" s="2" t="str">
        <f aca="false">IF(G58=0,"NO TEST CASE","Covered")</f>
        <v>Covered</v>
      </c>
      <c r="I58" s="2" t="s">
        <v>788</v>
      </c>
    </row>
    <row r="59" customFormat="false" ht="15" hidden="false" customHeight="false" outlineLevel="0" collapsed="false">
      <c r="A59" s="2" t="s">
        <v>535</v>
      </c>
      <c r="B59" s="2" t="s">
        <v>511</v>
      </c>
      <c r="C59" s="2" t="s">
        <v>886</v>
      </c>
      <c r="D59" s="2" t="s">
        <v>21</v>
      </c>
      <c r="E59" s="2" t="s">
        <v>889</v>
      </c>
      <c r="F59" s="2" t="s">
        <v>891</v>
      </c>
      <c r="G59" s="2" t="n">
        <f aca="false">COUNTIF('Test cases'!$C$2:$C$139,A59)</f>
        <v>2</v>
      </c>
      <c r="H59" s="2" t="str">
        <f aca="false">IF(G59=0,"NO TEST CASE","Covered")</f>
        <v>Covered</v>
      </c>
      <c r="I59" s="2" t="s">
        <v>788</v>
      </c>
    </row>
    <row r="60" customFormat="false" ht="15" hidden="false" customHeight="false" outlineLevel="0" collapsed="false">
      <c r="A60" s="2" t="s">
        <v>546</v>
      </c>
      <c r="B60" s="2" t="s">
        <v>511</v>
      </c>
      <c r="C60" s="2" t="s">
        <v>886</v>
      </c>
      <c r="D60" s="2" t="s">
        <v>21</v>
      </c>
      <c r="E60" s="2" t="s">
        <v>892</v>
      </c>
      <c r="F60" s="2" t="s">
        <v>545</v>
      </c>
      <c r="G60" s="2" t="n">
        <f aca="false">COUNTIF('Test cases'!$C$2:$C$139,A60)</f>
        <v>1</v>
      </c>
      <c r="H60" s="2" t="str">
        <f aca="false">IF(G60=0,"NO TEST CASE","Covered")</f>
        <v>Covered</v>
      </c>
      <c r="I60" s="2" t="s">
        <v>788</v>
      </c>
    </row>
    <row r="61" customFormat="false" ht="15" hidden="false" customHeight="false" outlineLevel="0" collapsed="false">
      <c r="A61" s="2" t="s">
        <v>552</v>
      </c>
      <c r="B61" s="2" t="s">
        <v>511</v>
      </c>
      <c r="C61" s="2" t="s">
        <v>886</v>
      </c>
      <c r="D61" s="2" t="s">
        <v>21</v>
      </c>
      <c r="E61" s="2" t="s">
        <v>892</v>
      </c>
      <c r="F61" s="2" t="s">
        <v>893</v>
      </c>
      <c r="G61" s="2" t="n">
        <f aca="false">COUNTIF('Test cases'!$C$2:$C$139,A61)</f>
        <v>2</v>
      </c>
      <c r="H61" s="2" t="str">
        <f aca="false">IF(G61=0,"NO TEST CASE","Covered")</f>
        <v>Covered</v>
      </c>
      <c r="I61" s="2" t="s">
        <v>788</v>
      </c>
    </row>
    <row r="62" customFormat="false" ht="15" hidden="false" customHeight="false" outlineLevel="0" collapsed="false">
      <c r="A62" s="2" t="s">
        <v>563</v>
      </c>
      <c r="B62" s="2" t="s">
        <v>511</v>
      </c>
      <c r="C62" s="2" t="s">
        <v>886</v>
      </c>
      <c r="D62" s="2" t="s">
        <v>21</v>
      </c>
      <c r="E62" s="2" t="s">
        <v>894</v>
      </c>
      <c r="F62" s="2" t="s">
        <v>562</v>
      </c>
      <c r="G62" s="2" t="n">
        <f aca="false">COUNTIF('Test cases'!$C$2:$C$139,A62)</f>
        <v>1</v>
      </c>
      <c r="H62" s="2" t="str">
        <f aca="false">IF(G62=0,"NO TEST CASE","Covered")</f>
        <v>Covered</v>
      </c>
      <c r="I62" s="2" t="s">
        <v>788</v>
      </c>
    </row>
    <row r="63" customFormat="false" ht="15" hidden="false" customHeight="false" outlineLevel="0" collapsed="false">
      <c r="A63" s="2" t="s">
        <v>569</v>
      </c>
      <c r="B63" s="2" t="s">
        <v>511</v>
      </c>
      <c r="C63" s="2" t="s">
        <v>886</v>
      </c>
      <c r="D63" s="2" t="s">
        <v>21</v>
      </c>
      <c r="E63" s="2" t="s">
        <v>894</v>
      </c>
      <c r="F63" s="2" t="s">
        <v>895</v>
      </c>
      <c r="G63" s="2" t="n">
        <f aca="false">COUNTIF('Test cases'!$C$2:$C$139,A63)</f>
        <v>2</v>
      </c>
      <c r="H63" s="2" t="str">
        <f aca="false">IF(G63=0,"NO TEST CASE","Covered")</f>
        <v>Covered</v>
      </c>
      <c r="I63" s="2" t="s">
        <v>788</v>
      </c>
    </row>
    <row r="64" customFormat="false" ht="15" hidden="false" customHeight="false" outlineLevel="0" collapsed="false">
      <c r="A64" s="2" t="s">
        <v>580</v>
      </c>
      <c r="B64" s="2" t="s">
        <v>511</v>
      </c>
      <c r="C64" s="2" t="s">
        <v>886</v>
      </c>
      <c r="D64" s="2" t="s">
        <v>21</v>
      </c>
      <c r="E64" s="2" t="s">
        <v>896</v>
      </c>
      <c r="F64" s="2" t="s">
        <v>579</v>
      </c>
      <c r="G64" s="2" t="n">
        <f aca="false">COUNTIF('Test cases'!$C$2:$C$139,A64)</f>
        <v>1</v>
      </c>
      <c r="H64" s="2" t="str">
        <f aca="false">IF(G64=0,"NO TEST CASE","Covered")</f>
        <v>Covered</v>
      </c>
      <c r="I64" s="2" t="s">
        <v>788</v>
      </c>
    </row>
    <row r="65" customFormat="false" ht="15" hidden="false" customHeight="false" outlineLevel="0" collapsed="false">
      <c r="A65" s="2" t="s">
        <v>586</v>
      </c>
      <c r="B65" s="2" t="s">
        <v>511</v>
      </c>
      <c r="C65" s="2" t="s">
        <v>886</v>
      </c>
      <c r="D65" s="2" t="s">
        <v>21</v>
      </c>
      <c r="E65" s="2" t="s">
        <v>897</v>
      </c>
      <c r="F65" s="2" t="s">
        <v>585</v>
      </c>
      <c r="G65" s="2" t="n">
        <f aca="false">COUNTIF('Test cases'!$C$2:$C$139,A65)</f>
        <v>1</v>
      </c>
      <c r="H65" s="2" t="str">
        <f aca="false">IF(G65=0,"NO TEST CASE","Covered")</f>
        <v>Covered</v>
      </c>
      <c r="I65" s="2" t="s">
        <v>873</v>
      </c>
    </row>
    <row r="66" customFormat="false" ht="15" hidden="false" customHeight="false" outlineLevel="0" collapsed="false">
      <c r="A66" s="2" t="s">
        <v>592</v>
      </c>
      <c r="B66" s="2" t="s">
        <v>591</v>
      </c>
      <c r="C66" s="2" t="s">
        <v>898</v>
      </c>
      <c r="D66" s="2" t="s">
        <v>596</v>
      </c>
      <c r="E66" s="2" t="s">
        <v>899</v>
      </c>
      <c r="F66" s="2" t="s">
        <v>900</v>
      </c>
      <c r="G66" s="2" t="n">
        <f aca="false">COUNTIF('Test cases'!$C$2:$C$139,A66)</f>
        <v>2</v>
      </c>
      <c r="H66" s="2" t="str">
        <f aca="false">IF(G66=0,"NO TEST CASE","Covered")</f>
        <v>Covered</v>
      </c>
      <c r="I66" s="2" t="s">
        <v>901</v>
      </c>
    </row>
    <row r="67" customFormat="false" ht="23.85" hidden="false" customHeight="false" outlineLevel="0" collapsed="false">
      <c r="A67" s="2" t="s">
        <v>604</v>
      </c>
      <c r="B67" s="2" t="s">
        <v>603</v>
      </c>
      <c r="C67" s="2" t="s">
        <v>902</v>
      </c>
      <c r="D67" s="2" t="s">
        <v>21</v>
      </c>
      <c r="E67" s="2" t="s">
        <v>903</v>
      </c>
      <c r="F67" s="2" t="s">
        <v>904</v>
      </c>
      <c r="G67" s="2" t="n">
        <f aca="false">COUNTIF('Test cases'!$C$2:$C$139,A67)</f>
        <v>4</v>
      </c>
      <c r="H67" s="2" t="str">
        <f aca="false">IF(G67=0,"NO TEST CASE","Covered")</f>
        <v>Covered</v>
      </c>
      <c r="I67" s="2" t="s">
        <v>905</v>
      </c>
    </row>
    <row r="68" customFormat="false" ht="23.85" hidden="false" customHeight="false" outlineLevel="0" collapsed="false">
      <c r="A68" s="2" t="s">
        <v>626</v>
      </c>
      <c r="B68" s="2" t="s">
        <v>603</v>
      </c>
      <c r="C68" s="2" t="s">
        <v>902</v>
      </c>
      <c r="D68" s="2" t="s">
        <v>21</v>
      </c>
      <c r="E68" s="2" t="s">
        <v>906</v>
      </c>
      <c r="F68" s="2" t="s">
        <v>625</v>
      </c>
      <c r="G68" s="2" t="n">
        <f aca="false">COUNTIF('Test cases'!$C$2:$C$139,A68)</f>
        <v>1</v>
      </c>
      <c r="H68" s="2" t="str">
        <f aca="false">IF(G68=0,"NO TEST CASE","Covered")</f>
        <v>Covered</v>
      </c>
      <c r="I68" s="2" t="s">
        <v>798</v>
      </c>
    </row>
    <row r="69" customFormat="false" ht="15" hidden="false" customHeight="false" outlineLevel="0" collapsed="false">
      <c r="A69" s="2" t="s">
        <v>631</v>
      </c>
      <c r="B69" s="2" t="s">
        <v>630</v>
      </c>
      <c r="C69" s="2" t="s">
        <v>907</v>
      </c>
      <c r="D69" s="2" t="s">
        <v>21</v>
      </c>
      <c r="E69" s="2" t="s">
        <v>908</v>
      </c>
      <c r="F69" s="2" t="s">
        <v>629</v>
      </c>
      <c r="G69" s="2" t="n">
        <f aca="false">COUNTIF('Test cases'!$C$2:$C$139,A69)</f>
        <v>1</v>
      </c>
      <c r="H69" s="2" t="str">
        <f aca="false">IF(G69=0,"NO TEST CASE","Covered")</f>
        <v>Covered</v>
      </c>
      <c r="I69" s="2"/>
    </row>
    <row r="70" customFormat="false" ht="23.85" hidden="false" customHeight="false" outlineLevel="0" collapsed="false">
      <c r="A70" s="2" t="s">
        <v>637</v>
      </c>
      <c r="B70" s="2" t="s">
        <v>630</v>
      </c>
      <c r="C70" s="2" t="s">
        <v>907</v>
      </c>
      <c r="D70" s="2" t="s">
        <v>21</v>
      </c>
      <c r="E70" s="2" t="s">
        <v>909</v>
      </c>
      <c r="F70" s="2" t="s">
        <v>636</v>
      </c>
      <c r="G70" s="2" t="n">
        <f aca="false">COUNTIF('Test cases'!$C$2:$C$139,A70)</f>
        <v>1</v>
      </c>
      <c r="H70" s="2" t="str">
        <f aca="false">IF(G70=0,"NO TEST CASE","Covered")</f>
        <v>Covered</v>
      </c>
      <c r="I70" s="2"/>
    </row>
    <row r="71" customFormat="false" ht="15" hidden="false" customHeight="false" outlineLevel="0" collapsed="false">
      <c r="A71" s="2" t="s">
        <v>641</v>
      </c>
      <c r="B71" s="2" t="s">
        <v>630</v>
      </c>
      <c r="C71" s="2" t="s">
        <v>907</v>
      </c>
      <c r="D71" s="2" t="s">
        <v>21</v>
      </c>
      <c r="E71" s="2" t="s">
        <v>910</v>
      </c>
      <c r="F71" s="2" t="s">
        <v>640</v>
      </c>
      <c r="G71" s="2" t="n">
        <f aca="false">COUNTIF('Test cases'!$C$2:$C$139,A71)</f>
        <v>1</v>
      </c>
      <c r="H71" s="2" t="str">
        <f aca="false">IF(G71=0,"NO TEST CASE","Covered")</f>
        <v>Covered</v>
      </c>
      <c r="I71" s="2" t="s">
        <v>911</v>
      </c>
    </row>
    <row r="72" customFormat="false" ht="46.25" hidden="false" customHeight="false" outlineLevel="0" collapsed="false">
      <c r="A72" s="2" t="s">
        <v>648</v>
      </c>
      <c r="B72" s="2" t="s">
        <v>647</v>
      </c>
      <c r="C72" s="2" t="s">
        <v>912</v>
      </c>
      <c r="D72" s="2" t="s">
        <v>21</v>
      </c>
      <c r="E72" s="2" t="s">
        <v>913</v>
      </c>
      <c r="F72" s="2" t="s">
        <v>646</v>
      </c>
      <c r="G72" s="2" t="n">
        <f aca="false">COUNTIF('Test cases'!$C$2:$C$139,A72)</f>
        <v>1</v>
      </c>
      <c r="H72" s="2" t="str">
        <f aca="false">IF(G72=0,"NO TEST CASE","Covered")</f>
        <v>Covered</v>
      </c>
      <c r="I72" s="2" t="s">
        <v>914</v>
      </c>
    </row>
    <row r="73" customFormat="false" ht="23.85" hidden="false" customHeight="false" outlineLevel="0" collapsed="false">
      <c r="A73" s="2" t="s">
        <v>654</v>
      </c>
      <c r="B73" s="2" t="s">
        <v>647</v>
      </c>
      <c r="C73" s="2" t="s">
        <v>912</v>
      </c>
      <c r="D73" s="2" t="s">
        <v>21</v>
      </c>
      <c r="E73" s="2" t="s">
        <v>915</v>
      </c>
      <c r="F73" s="2" t="s">
        <v>653</v>
      </c>
      <c r="G73" s="2" t="n">
        <f aca="false">COUNTIF('Test cases'!$C$2:$C$139,A73)</f>
        <v>1</v>
      </c>
      <c r="H73" s="2" t="str">
        <f aca="false">IF(G73=0,"NO TEST CASE","Covered")</f>
        <v>Covered</v>
      </c>
      <c r="I73" s="2"/>
    </row>
    <row r="74" customFormat="false" ht="15" hidden="false" customHeight="false" outlineLevel="0" collapsed="false">
      <c r="A74" s="2" t="s">
        <v>658</v>
      </c>
      <c r="B74" s="2" t="s">
        <v>647</v>
      </c>
      <c r="C74" s="2" t="s">
        <v>912</v>
      </c>
      <c r="D74" s="2" t="s">
        <v>21</v>
      </c>
      <c r="E74" s="2" t="s">
        <v>916</v>
      </c>
      <c r="F74" s="2" t="s">
        <v>657</v>
      </c>
      <c r="G74" s="2" t="n">
        <f aca="false">COUNTIF('Test cases'!$C$2:$C$139,A74)</f>
        <v>1</v>
      </c>
      <c r="H74" s="2" t="str">
        <f aca="false">IF(G74=0,"NO TEST CASE","Covered")</f>
        <v>Covered</v>
      </c>
      <c r="I74" s="2" t="s">
        <v>917</v>
      </c>
    </row>
    <row r="75" customFormat="false" ht="15" hidden="false" customHeight="false" outlineLevel="0" collapsed="false">
      <c r="A75" s="2" t="s">
        <v>663</v>
      </c>
      <c r="B75" s="2" t="s">
        <v>647</v>
      </c>
      <c r="C75" s="2" t="s">
        <v>912</v>
      </c>
      <c r="D75" s="2" t="s">
        <v>21</v>
      </c>
      <c r="E75" s="2" t="s">
        <v>918</v>
      </c>
      <c r="F75" s="2" t="s">
        <v>919</v>
      </c>
      <c r="G75" s="2" t="n">
        <f aca="false">COUNTIF('Test cases'!$C$2:$C$139,A75)</f>
        <v>3</v>
      </c>
      <c r="H75" s="2" t="str">
        <f aca="false">IF(G75=0,"NO TEST CASE","Covered")</f>
        <v>Covered</v>
      </c>
      <c r="I75" s="2"/>
    </row>
    <row r="76" customFormat="false" ht="15" hidden="false" customHeight="false" outlineLevel="0" collapsed="false">
      <c r="A76" s="2" t="s">
        <v>679</v>
      </c>
      <c r="B76" s="2" t="s">
        <v>647</v>
      </c>
      <c r="C76" s="2" t="s">
        <v>912</v>
      </c>
      <c r="D76" s="2" t="s">
        <v>21</v>
      </c>
      <c r="E76" s="2" t="s">
        <v>920</v>
      </c>
      <c r="F76" s="2" t="s">
        <v>921</v>
      </c>
      <c r="G76" s="2" t="n">
        <f aca="false">COUNTIF('Test cases'!$C$2:$C$139,A76)</f>
        <v>3</v>
      </c>
      <c r="H76" s="2" t="str">
        <f aca="false">IF(G76=0,"NO TEST CASE","Covered")</f>
        <v>Covered</v>
      </c>
      <c r="I76" s="2" t="s">
        <v>922</v>
      </c>
    </row>
    <row r="77" customFormat="false" ht="46.25" hidden="false" customHeight="false" outlineLevel="0" collapsed="false">
      <c r="A77" s="2" t="s">
        <v>695</v>
      </c>
      <c r="B77" s="2" t="s">
        <v>694</v>
      </c>
      <c r="C77" s="2" t="s">
        <v>923</v>
      </c>
      <c r="D77" s="2" t="s">
        <v>21</v>
      </c>
      <c r="E77" s="2" t="s">
        <v>924</v>
      </c>
      <c r="F77" s="2" t="s">
        <v>693</v>
      </c>
      <c r="G77" s="2" t="n">
        <f aca="false">COUNTIF('Test cases'!$C$2:$C$139,A77)</f>
        <v>1</v>
      </c>
      <c r="H77" s="2" t="str">
        <f aca="false">IF(G77=0,"NO TEST CASE","Covered")</f>
        <v>Covered</v>
      </c>
      <c r="I77" s="2" t="s">
        <v>925</v>
      </c>
    </row>
    <row r="78" customFormat="false" ht="15" hidden="false" customHeight="false" outlineLevel="0" collapsed="false">
      <c r="A78" s="2" t="s">
        <v>701</v>
      </c>
      <c r="B78" s="2" t="s">
        <v>694</v>
      </c>
      <c r="C78" s="2" t="s">
        <v>923</v>
      </c>
      <c r="D78" s="2" t="s">
        <v>21</v>
      </c>
      <c r="E78" s="2" t="s">
        <v>926</v>
      </c>
      <c r="F78" s="2" t="s">
        <v>700</v>
      </c>
      <c r="G78" s="2" t="n">
        <f aca="false">COUNTIF('Test cases'!$C$2:$C$139,A78)</f>
        <v>1</v>
      </c>
      <c r="H78" s="2" t="str">
        <f aca="false">IF(G78=0,"NO TEST CASE","Covered")</f>
        <v>Covered</v>
      </c>
      <c r="I78" s="2"/>
    </row>
    <row r="79" customFormat="false" ht="23.85" hidden="false" customHeight="false" outlineLevel="0" collapsed="false">
      <c r="A79" s="2" t="s">
        <v>705</v>
      </c>
      <c r="B79" s="2" t="s">
        <v>694</v>
      </c>
      <c r="C79" s="2" t="s">
        <v>923</v>
      </c>
      <c r="D79" s="2" t="s">
        <v>21</v>
      </c>
      <c r="E79" s="2" t="s">
        <v>927</v>
      </c>
      <c r="F79" s="2" t="s">
        <v>928</v>
      </c>
      <c r="G79" s="2" t="n">
        <f aca="false">COUNTIF('Test cases'!$C$2:$C$139,A79)</f>
        <v>2</v>
      </c>
      <c r="H79" s="2" t="str">
        <f aca="false">IF(G79=0,"NO TEST CASE","Covered")</f>
        <v>Covered</v>
      </c>
      <c r="I79" s="2" t="s">
        <v>833</v>
      </c>
    </row>
    <row r="80" customFormat="false" ht="15" hidden="false" customHeight="false" outlineLevel="0" collapsed="false">
      <c r="A80" s="2" t="s">
        <v>717</v>
      </c>
      <c r="B80" s="2" t="s">
        <v>716</v>
      </c>
      <c r="C80" s="2" t="s">
        <v>929</v>
      </c>
      <c r="D80" s="2" t="s">
        <v>721</v>
      </c>
      <c r="E80" s="2" t="s">
        <v>930</v>
      </c>
      <c r="F80" s="2" t="s">
        <v>715</v>
      </c>
      <c r="G80" s="2" t="n">
        <f aca="false">COUNTIF('Test cases'!$C$2:$C$139,A80)</f>
        <v>1</v>
      </c>
      <c r="H80" s="2" t="str">
        <f aca="false">IF(G80=0,"NO TEST CASE","Covered")</f>
        <v>Covered</v>
      </c>
      <c r="I80" s="2" t="s">
        <v>931</v>
      </c>
    </row>
    <row r="81" customFormat="false" ht="23.85" hidden="false" customHeight="false" outlineLevel="0" collapsed="false">
      <c r="A81" s="2" t="s">
        <v>724</v>
      </c>
      <c r="B81" s="2" t="s">
        <v>723</v>
      </c>
      <c r="C81" s="2" t="s">
        <v>932</v>
      </c>
      <c r="D81" s="2" t="s">
        <v>596</v>
      </c>
      <c r="E81" s="2" t="s">
        <v>933</v>
      </c>
      <c r="F81" s="2" t="s">
        <v>722</v>
      </c>
      <c r="G81" s="2" t="n">
        <f aca="false">COUNTIF('Test cases'!$C$2:$C$139,A81)</f>
        <v>1</v>
      </c>
      <c r="H81" s="2" t="str">
        <f aca="false">IF(G81=0,"NO TEST CASE","Covered")</f>
        <v>Covered</v>
      </c>
      <c r="I81" s="2" t="s">
        <v>934</v>
      </c>
    </row>
    <row r="82" customFormat="false" ht="23.85" hidden="false" customHeight="false" outlineLevel="0" collapsed="false">
      <c r="A82" s="2" t="s">
        <v>731</v>
      </c>
      <c r="B82" s="2" t="s">
        <v>730</v>
      </c>
      <c r="C82" s="2" t="s">
        <v>935</v>
      </c>
      <c r="D82" s="2" t="s">
        <v>21</v>
      </c>
      <c r="E82" s="2" t="s">
        <v>936</v>
      </c>
      <c r="F82" s="2" t="s">
        <v>729</v>
      </c>
      <c r="G82" s="2" t="n">
        <f aca="false">COUNTIF('Test cases'!$C$2:$C$139,A82)</f>
        <v>1</v>
      </c>
      <c r="H82" s="2" t="str">
        <f aca="false">IF(G82=0,"NO TEST CASE","Covered")</f>
        <v>Covered</v>
      </c>
      <c r="I82" s="2" t="s">
        <v>934</v>
      </c>
    </row>
    <row r="83" customFormat="false" ht="15" hidden="false" customHeight="false" outlineLevel="0" collapsed="false">
      <c r="A83" s="2" t="s">
        <v>737</v>
      </c>
      <c r="B83" s="2" t="s">
        <v>736</v>
      </c>
      <c r="C83" s="2" t="s">
        <v>937</v>
      </c>
      <c r="D83" s="2" t="s">
        <v>137</v>
      </c>
      <c r="E83" s="2" t="s">
        <v>938</v>
      </c>
      <c r="F83" s="2" t="s">
        <v>735</v>
      </c>
      <c r="G83" s="2" t="n">
        <f aca="false">COUNTIF('Test cases'!$C$2:$C$139,A83)</f>
        <v>1</v>
      </c>
      <c r="H83" s="2" t="str">
        <f aca="false">IF(G83=0,"NO TEST CASE","Covered")</f>
        <v>Covered</v>
      </c>
      <c r="I83" s="2"/>
    </row>
    <row r="84" customFormat="false" ht="15" hidden="false" customHeight="false" outlineLevel="0" collapsed="false">
      <c r="A84" s="2" t="s">
        <v>743</v>
      </c>
      <c r="B84" s="2" t="s">
        <v>742</v>
      </c>
      <c r="C84" s="2" t="s">
        <v>939</v>
      </c>
      <c r="D84" s="2" t="s">
        <v>596</v>
      </c>
      <c r="E84" s="2" t="s">
        <v>940</v>
      </c>
      <c r="F84" s="2" t="s">
        <v>941</v>
      </c>
      <c r="G84" s="2" t="n">
        <f aca="false">COUNTIF('Test cases'!$C$2:$C$139,A84)</f>
        <v>2</v>
      </c>
      <c r="H84" s="2" t="str">
        <f aca="false">IF(G84=0,"NO TEST CASE","Covered")</f>
        <v>Covered</v>
      </c>
      <c r="I84" s="2" t="s">
        <v>942</v>
      </c>
    </row>
    <row r="85" customFormat="false" ht="15" hidden="false" customHeight="false" outlineLevel="0" collapsed="false">
      <c r="A85" s="2" t="s">
        <v>753</v>
      </c>
      <c r="B85" s="2" t="s">
        <v>742</v>
      </c>
      <c r="C85" s="2" t="s">
        <v>939</v>
      </c>
      <c r="D85" s="2" t="s">
        <v>596</v>
      </c>
      <c r="E85" s="2" t="s">
        <v>943</v>
      </c>
      <c r="F85" s="2" t="s">
        <v>752</v>
      </c>
      <c r="G85" s="2" t="n">
        <f aca="false">COUNTIF('Test cases'!$C$2:$C$139,A85)</f>
        <v>1</v>
      </c>
      <c r="H85" s="2" t="str">
        <f aca="false">IF(G85=0,"NO TEST CASE","Covered")</f>
        <v>Covered</v>
      </c>
      <c r="I85" s="2" t="s">
        <v>944</v>
      </c>
    </row>
    <row r="86" customFormat="false" ht="15" hidden="false" customHeight="false" outlineLevel="0" collapsed="false">
      <c r="A86" s="2" t="s">
        <v>759</v>
      </c>
      <c r="B86" s="2" t="s">
        <v>758</v>
      </c>
      <c r="C86" s="2" t="s">
        <v>945</v>
      </c>
      <c r="D86" s="2" t="s">
        <v>721</v>
      </c>
      <c r="E86" s="2" t="s">
        <v>946</v>
      </c>
      <c r="F86" s="2" t="s">
        <v>757</v>
      </c>
      <c r="G86" s="2" t="n">
        <f aca="false">COUNTIF('Test cases'!$C$2:$C$139,A86)</f>
        <v>1</v>
      </c>
      <c r="H86" s="2" t="str">
        <f aca="false">IF(G86=0,"NO TEST CASE","Covered")</f>
        <v>Covered</v>
      </c>
      <c r="I86" s="2" t="s">
        <v>905</v>
      </c>
    </row>
    <row r="87" customFormat="false" ht="15" hidden="false" customHeight="false" outlineLevel="0" collapsed="false">
      <c r="A87" s="2" t="s">
        <v>764</v>
      </c>
      <c r="B87" s="2" t="s">
        <v>758</v>
      </c>
      <c r="C87" s="2" t="s">
        <v>945</v>
      </c>
      <c r="D87" s="2" t="s">
        <v>721</v>
      </c>
      <c r="E87" s="2" t="s">
        <v>947</v>
      </c>
      <c r="F87" s="2" t="s">
        <v>763</v>
      </c>
      <c r="G87" s="2" t="n">
        <f aca="false">COUNTIF('Test cases'!$C$2:$C$139,A87)</f>
        <v>1</v>
      </c>
      <c r="H87" s="2" t="str">
        <f aca="false">IF(G87=0,"NO TEST CASE","Covered")</f>
        <v>Covered</v>
      </c>
      <c r="I87" s="2" t="s">
        <v>944</v>
      </c>
    </row>
    <row r="88" customFormat="false" ht="23.85" hidden="false" customHeight="false" outlineLevel="0" collapsed="false">
      <c r="A88" s="2" t="s">
        <v>770</v>
      </c>
      <c r="B88" s="2" t="s">
        <v>769</v>
      </c>
      <c r="C88" s="2" t="s">
        <v>948</v>
      </c>
      <c r="D88" s="2" t="s">
        <v>137</v>
      </c>
      <c r="E88" s="2" t="s">
        <v>949</v>
      </c>
      <c r="F88" s="2" t="s">
        <v>768</v>
      </c>
      <c r="G88" s="2" t="n">
        <f aca="false">COUNTIF('Test cases'!$C$2:$C$139,A88)</f>
        <v>1</v>
      </c>
      <c r="H88" s="2" t="str">
        <f aca="false">IF(G88=0,"NO TEST CASE","Covered")</f>
        <v>Covered</v>
      </c>
      <c r="I88" s="2"/>
    </row>
    <row r="90" customFormat="false" ht="15" hidden="false" customHeight="false" outlineLevel="0" collapsed="false">
      <c r="A90" s="4" t="s">
        <v>950</v>
      </c>
      <c r="G90" s="5" t="n">
        <f aca="false">COUNTA(A2:A88)</f>
        <v>87</v>
      </c>
    </row>
    <row r="91" customFormat="false" ht="15" hidden="false" customHeight="false" outlineLevel="0" collapsed="false">
      <c r="A91" s="4" t="s">
        <v>951</v>
      </c>
      <c r="G91" s="5" t="n">
        <f aca="false">COUNTIF(H2:H88,"Covered")</f>
        <v>87</v>
      </c>
    </row>
    <row r="92" customFormat="false" ht="15" hidden="false" customHeight="false" outlineLevel="0" collapsed="false">
      <c r="A92" s="4" t="s">
        <v>952</v>
      </c>
      <c r="G92" s="5" t="n">
        <f aca="false">COUNTIF(H2:H88,"NO TEST CASE")</f>
        <v>0</v>
      </c>
    </row>
    <row r="93" customFormat="false" ht="15" hidden="false" customHeight="false" outlineLevel="0" collapsed="false">
      <c r="A93" s="4" t="s">
        <v>953</v>
      </c>
      <c r="G93" s="5" t="n">
        <f aca="false">COUNTA('Test cases'!A2:A139)</f>
        <v>138</v>
      </c>
    </row>
  </sheetData>
  <autoFilter ref="A1:I88"/>
  <conditionalFormatting sqref="H2:H88">
    <cfRule type="expression" priority="2" aboveAverage="0" equalAverage="0" bottom="0" percent="0" rank="0" text="" dxfId="4">
      <formula>$G2=0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 collapsed="false" customWidth="true" hidden="false" outlineLevel="0" max="3" min="3" style="0" width="45"/>
    <col collapsed="false" customWidth="true" hidden="false" outlineLevel="0" max="4" min="4" style="0" width="40"/>
  </cols>
  <sheetData>
    <row r="1" customFormat="false" ht="15" hidden="false" customHeight="false" outlineLevel="0" collapsed="false">
      <c r="A1" s="1" t="s">
        <v>954</v>
      </c>
      <c r="B1" s="1" t="s">
        <v>955</v>
      </c>
      <c r="C1" s="1" t="s">
        <v>956</v>
      </c>
      <c r="D1" s="1" t="s">
        <v>957</v>
      </c>
    </row>
    <row r="2" customFormat="false" ht="314.9" hidden="false" customHeight="false" outlineLevel="0" collapsed="false">
      <c r="A2" s="2" t="s">
        <v>18</v>
      </c>
      <c r="B2" s="2" t="s">
        <v>958</v>
      </c>
      <c r="C2" s="2" t="s">
        <v>959</v>
      </c>
      <c r="D2" s="2" t="s">
        <v>960</v>
      </c>
    </row>
    <row r="3" customFormat="false" ht="23.85" hidden="false" customHeight="false" outlineLevel="0" collapsed="false">
      <c r="A3" s="2" t="s">
        <v>46</v>
      </c>
      <c r="B3" s="2" t="s">
        <v>961</v>
      </c>
      <c r="C3" s="2" t="s">
        <v>962</v>
      </c>
      <c r="D3" s="2" t="s">
        <v>963</v>
      </c>
    </row>
    <row r="4" customFormat="false" ht="35.05" hidden="false" customHeight="false" outlineLevel="0" collapsed="false">
      <c r="A4" s="2" t="s">
        <v>53</v>
      </c>
      <c r="B4" s="2" t="s">
        <v>964</v>
      </c>
      <c r="C4" s="2" t="s">
        <v>965</v>
      </c>
      <c r="D4" s="2" t="s">
        <v>966</v>
      </c>
    </row>
    <row r="5" customFormat="false" ht="23.85" hidden="false" customHeight="false" outlineLevel="0" collapsed="false">
      <c r="A5" s="2" t="s">
        <v>59</v>
      </c>
      <c r="B5" s="2" t="s">
        <v>967</v>
      </c>
      <c r="C5" s="2" t="s">
        <v>968</v>
      </c>
      <c r="D5" s="2" t="s">
        <v>57</v>
      </c>
    </row>
    <row r="6" customFormat="false" ht="23.85" hidden="false" customHeight="false" outlineLevel="0" collapsed="false">
      <c r="A6" s="2" t="s">
        <v>65</v>
      </c>
      <c r="B6" s="2" t="s">
        <v>969</v>
      </c>
      <c r="C6" s="2" t="s">
        <v>962</v>
      </c>
      <c r="D6" s="2" t="s">
        <v>62</v>
      </c>
    </row>
    <row r="7" customFormat="false" ht="23.85" hidden="false" customHeight="false" outlineLevel="0" collapsed="false">
      <c r="A7" s="2" t="s">
        <v>71</v>
      </c>
      <c r="B7" s="2" t="s">
        <v>970</v>
      </c>
      <c r="C7" s="2" t="s">
        <v>962</v>
      </c>
      <c r="D7" s="2" t="s">
        <v>69</v>
      </c>
    </row>
    <row r="8" customFormat="false" ht="23.85" hidden="false" customHeight="false" outlineLevel="0" collapsed="false">
      <c r="A8" s="2" t="s">
        <v>82</v>
      </c>
      <c r="B8" s="2" t="s">
        <v>971</v>
      </c>
      <c r="C8" s="2" t="s">
        <v>962</v>
      </c>
      <c r="D8" s="2" t="s">
        <v>79</v>
      </c>
    </row>
    <row r="9" customFormat="false" ht="314.9" hidden="false" customHeight="false" outlineLevel="0" collapsed="false">
      <c r="A9" s="2" t="s">
        <v>88</v>
      </c>
      <c r="B9" s="2" t="s">
        <v>972</v>
      </c>
      <c r="C9" s="2" t="s">
        <v>973</v>
      </c>
      <c r="D9" s="2" t="s">
        <v>85</v>
      </c>
    </row>
    <row r="10" customFormat="false" ht="23.85" hidden="false" customHeight="false" outlineLevel="0" collapsed="false">
      <c r="A10" s="2" t="s">
        <v>94</v>
      </c>
      <c r="B10" s="2" t="s">
        <v>974</v>
      </c>
      <c r="C10" s="2" t="s">
        <v>962</v>
      </c>
      <c r="D10" s="2" t="s">
        <v>91</v>
      </c>
    </row>
    <row r="11" customFormat="false" ht="35.05" hidden="false" customHeight="false" outlineLevel="0" collapsed="false">
      <c r="A11" s="2" t="s">
        <v>100</v>
      </c>
      <c r="B11" s="2" t="s">
        <v>975</v>
      </c>
      <c r="C11" s="2" t="s">
        <v>976</v>
      </c>
      <c r="D11" s="2" t="s">
        <v>97</v>
      </c>
    </row>
    <row r="12" customFormat="false" ht="46.25" hidden="false" customHeight="false" outlineLevel="0" collapsed="false">
      <c r="A12" s="2" t="s">
        <v>106</v>
      </c>
      <c r="B12" s="2" t="s">
        <v>977</v>
      </c>
      <c r="C12" s="2" t="s">
        <v>962</v>
      </c>
      <c r="D12" s="2" t="s">
        <v>104</v>
      </c>
    </row>
    <row r="13" customFormat="false" ht="46.25" hidden="false" customHeight="false" outlineLevel="0" collapsed="false">
      <c r="A13" s="2" t="s">
        <v>111</v>
      </c>
      <c r="B13" s="2" t="s">
        <v>978</v>
      </c>
      <c r="C13" s="2" t="s">
        <v>979</v>
      </c>
      <c r="D13" s="2" t="s">
        <v>108</v>
      </c>
    </row>
    <row r="14" customFormat="false" ht="46.25" hidden="false" customHeight="false" outlineLevel="0" collapsed="false">
      <c r="A14" s="2" t="s">
        <v>117</v>
      </c>
      <c r="B14" s="2" t="s">
        <v>980</v>
      </c>
      <c r="C14" s="2" t="s">
        <v>979</v>
      </c>
      <c r="D14" s="2" t="s">
        <v>115</v>
      </c>
    </row>
    <row r="15" customFormat="false" ht="35.05" hidden="false" customHeight="false" outlineLevel="0" collapsed="false">
      <c r="A15" s="2" t="s">
        <v>123</v>
      </c>
      <c r="B15" s="2" t="s">
        <v>981</v>
      </c>
      <c r="C15" s="2" t="s">
        <v>979</v>
      </c>
      <c r="D15" s="2" t="s">
        <v>120</v>
      </c>
    </row>
    <row r="16" customFormat="false" ht="46.25" hidden="false" customHeight="false" outlineLevel="0" collapsed="false">
      <c r="A16" s="2" t="s">
        <v>129</v>
      </c>
      <c r="B16" s="2" t="s">
        <v>982</v>
      </c>
      <c r="C16" s="2" t="s">
        <v>979</v>
      </c>
      <c r="D16" s="2" t="s">
        <v>126</v>
      </c>
    </row>
    <row r="17" customFormat="false" ht="35.05" hidden="false" customHeight="false" outlineLevel="0" collapsed="false">
      <c r="A17" s="2" t="s">
        <v>160</v>
      </c>
      <c r="B17" s="2" t="s">
        <v>983</v>
      </c>
      <c r="C17" s="2" t="s">
        <v>962</v>
      </c>
      <c r="D17" s="2" t="s">
        <v>157</v>
      </c>
    </row>
    <row r="18" customFormat="false" ht="35.05" hidden="false" customHeight="false" outlineLevel="0" collapsed="false">
      <c r="A18" s="2" t="s">
        <v>165</v>
      </c>
      <c r="B18" s="2" t="s">
        <v>984</v>
      </c>
      <c r="C18" s="2" t="s">
        <v>962</v>
      </c>
      <c r="D18" s="2" t="s">
        <v>163</v>
      </c>
    </row>
    <row r="19" customFormat="false" ht="35.05" hidden="false" customHeight="false" outlineLevel="0" collapsed="false">
      <c r="A19" s="2" t="s">
        <v>172</v>
      </c>
      <c r="B19" s="2" t="s">
        <v>985</v>
      </c>
      <c r="C19" s="2" t="s">
        <v>962</v>
      </c>
      <c r="D19" s="2" t="s">
        <v>169</v>
      </c>
    </row>
    <row r="20" customFormat="false" ht="35.05" hidden="false" customHeight="false" outlineLevel="0" collapsed="false">
      <c r="A20" s="2" t="s">
        <v>178</v>
      </c>
      <c r="B20" s="2" t="s">
        <v>986</v>
      </c>
      <c r="C20" s="2" t="s">
        <v>962</v>
      </c>
      <c r="D20" s="2" t="s">
        <v>175</v>
      </c>
    </row>
    <row r="21" customFormat="false" ht="46.25" hidden="false" customHeight="false" outlineLevel="0" collapsed="false">
      <c r="A21" s="2" t="s">
        <v>148</v>
      </c>
      <c r="B21" s="2" t="s">
        <v>987</v>
      </c>
      <c r="C21" s="2" t="s">
        <v>962</v>
      </c>
      <c r="D21" s="2" t="s">
        <v>988</v>
      </c>
    </row>
    <row r="22" customFormat="false" ht="124.6" hidden="false" customHeight="false" outlineLevel="0" collapsed="false">
      <c r="A22" s="2" t="s">
        <v>206</v>
      </c>
      <c r="B22" s="2" t="s">
        <v>989</v>
      </c>
      <c r="C22" s="2" t="s">
        <v>990</v>
      </c>
      <c r="D22" s="2" t="s">
        <v>991</v>
      </c>
    </row>
    <row r="23" customFormat="false" ht="23.85" hidden="false" customHeight="false" outlineLevel="0" collapsed="false">
      <c r="A23" s="2" t="s">
        <v>258</v>
      </c>
      <c r="B23" s="2" t="s">
        <v>992</v>
      </c>
      <c r="C23" s="2" t="s">
        <v>962</v>
      </c>
      <c r="D23" s="2" t="s">
        <v>255</v>
      </c>
    </row>
    <row r="24" customFormat="false" ht="35.05" hidden="false" customHeight="false" outlineLevel="0" collapsed="false">
      <c r="A24" s="2" t="s">
        <v>263</v>
      </c>
      <c r="B24" s="2" t="s">
        <v>993</v>
      </c>
      <c r="C24" s="2" t="s">
        <v>994</v>
      </c>
      <c r="D24" s="2" t="s">
        <v>261</v>
      </c>
    </row>
    <row r="25" customFormat="false" ht="23.85" hidden="false" customHeight="false" outlineLevel="0" collapsed="false">
      <c r="A25" s="2" t="s">
        <v>298</v>
      </c>
      <c r="B25" s="2" t="s">
        <v>995</v>
      </c>
      <c r="C25" s="2" t="s">
        <v>962</v>
      </c>
      <c r="D25" s="2" t="s">
        <v>295</v>
      </c>
    </row>
    <row r="26" customFormat="false" ht="23.85" hidden="false" customHeight="false" outlineLevel="0" collapsed="false">
      <c r="A26" s="2" t="s">
        <v>337</v>
      </c>
      <c r="B26" s="2" t="s">
        <v>996</v>
      </c>
      <c r="C26" s="2" t="s">
        <v>962</v>
      </c>
      <c r="D26" s="2" t="s">
        <v>334</v>
      </c>
    </row>
    <row r="27" customFormat="false" ht="23.85" hidden="false" customHeight="false" outlineLevel="0" collapsed="false">
      <c r="A27" s="2" t="s">
        <v>283</v>
      </c>
      <c r="B27" s="2" t="s">
        <v>997</v>
      </c>
      <c r="C27" s="2" t="s">
        <v>962</v>
      </c>
      <c r="D27" s="2" t="s">
        <v>281</v>
      </c>
    </row>
    <row r="28" customFormat="false" ht="46.25" hidden="false" customHeight="false" outlineLevel="0" collapsed="false">
      <c r="A28" s="2" t="s">
        <v>288</v>
      </c>
      <c r="B28" s="2" t="s">
        <v>998</v>
      </c>
      <c r="C28" s="2" t="s">
        <v>999</v>
      </c>
      <c r="D28" s="2" t="s">
        <v>286</v>
      </c>
    </row>
    <row r="29" customFormat="false" ht="113.4" hidden="false" customHeight="false" outlineLevel="0" collapsed="false">
      <c r="A29" s="2" t="s">
        <v>304</v>
      </c>
      <c r="B29" s="2" t="s">
        <v>1000</v>
      </c>
      <c r="C29" s="2" t="s">
        <v>962</v>
      </c>
      <c r="D29" s="2" t="s">
        <v>1001</v>
      </c>
    </row>
    <row r="30" customFormat="false" ht="46.25" hidden="false" customHeight="false" outlineLevel="0" collapsed="false">
      <c r="A30" s="2" t="s">
        <v>352</v>
      </c>
      <c r="B30" s="2" t="s">
        <v>1002</v>
      </c>
      <c r="C30" s="2" t="s">
        <v>962</v>
      </c>
      <c r="D30" s="2" t="s">
        <v>350</v>
      </c>
    </row>
    <row r="31" customFormat="false" ht="79.85" hidden="false" customHeight="false" outlineLevel="0" collapsed="false">
      <c r="A31" s="2" t="s">
        <v>364</v>
      </c>
      <c r="B31" s="2" t="s">
        <v>1003</v>
      </c>
      <c r="C31" s="2" t="s">
        <v>1004</v>
      </c>
      <c r="D31" s="2" t="s">
        <v>1005</v>
      </c>
    </row>
    <row r="32" customFormat="false" ht="23.85" hidden="false" customHeight="false" outlineLevel="0" collapsed="false">
      <c r="A32" s="2" t="s">
        <v>403</v>
      </c>
      <c r="B32" s="2" t="s">
        <v>1006</v>
      </c>
      <c r="C32" s="2" t="s">
        <v>962</v>
      </c>
      <c r="D32" s="2" t="s">
        <v>401</v>
      </c>
    </row>
    <row r="33" customFormat="false" ht="23.85" hidden="false" customHeight="false" outlineLevel="0" collapsed="false">
      <c r="A33" s="2" t="s">
        <v>409</v>
      </c>
      <c r="B33" s="2" t="s">
        <v>1007</v>
      </c>
      <c r="C33" s="2" t="s">
        <v>962</v>
      </c>
      <c r="D33" s="2" t="s">
        <v>407</v>
      </c>
    </row>
    <row r="34" customFormat="false" ht="23.85" hidden="false" customHeight="false" outlineLevel="0" collapsed="false">
      <c r="A34" s="2" t="s">
        <v>432</v>
      </c>
      <c r="B34" s="2" t="s">
        <v>1008</v>
      </c>
      <c r="C34" s="2" t="s">
        <v>962</v>
      </c>
      <c r="D34" s="2" t="s">
        <v>430</v>
      </c>
    </row>
    <row r="35" customFormat="false" ht="23.85" hidden="false" customHeight="false" outlineLevel="0" collapsed="false">
      <c r="A35" s="2" t="s">
        <v>414</v>
      </c>
      <c r="B35" s="2" t="s">
        <v>1009</v>
      </c>
      <c r="C35" s="2" t="s">
        <v>962</v>
      </c>
      <c r="D35" s="2" t="s">
        <v>412</v>
      </c>
    </row>
    <row r="36" customFormat="false" ht="23.85" hidden="false" customHeight="false" outlineLevel="0" collapsed="false">
      <c r="A36" s="2" t="s">
        <v>420</v>
      </c>
      <c r="B36" s="2" t="s">
        <v>1010</v>
      </c>
      <c r="C36" s="2" t="s">
        <v>962</v>
      </c>
      <c r="D36" s="2" t="s">
        <v>418</v>
      </c>
    </row>
    <row r="37" customFormat="false" ht="35.05" hidden="false" customHeight="false" outlineLevel="0" collapsed="false">
      <c r="A37" s="2" t="s">
        <v>449</v>
      </c>
      <c r="B37" s="2" t="s">
        <v>1011</v>
      </c>
      <c r="C37" s="2" t="s">
        <v>962</v>
      </c>
      <c r="D37" s="2" t="s">
        <v>447</v>
      </c>
    </row>
    <row r="38" customFormat="false" ht="35.05" hidden="false" customHeight="false" outlineLevel="0" collapsed="false">
      <c r="A38" s="2" t="s">
        <v>454</v>
      </c>
      <c r="B38" s="2" t="s">
        <v>1012</v>
      </c>
      <c r="C38" s="2" t="s">
        <v>962</v>
      </c>
      <c r="D38" s="2" t="s">
        <v>452</v>
      </c>
    </row>
    <row r="39" customFormat="false" ht="35.05" hidden="false" customHeight="false" outlineLevel="0" collapsed="false">
      <c r="A39" s="2" t="s">
        <v>465</v>
      </c>
      <c r="B39" s="2" t="s">
        <v>1013</v>
      </c>
      <c r="C39" s="2" t="s">
        <v>962</v>
      </c>
      <c r="D39" s="2" t="s">
        <v>463</v>
      </c>
    </row>
    <row r="40" customFormat="false" ht="35.05" hidden="false" customHeight="false" outlineLevel="0" collapsed="false">
      <c r="A40" s="2" t="s">
        <v>471</v>
      </c>
      <c r="B40" s="2" t="s">
        <v>1014</v>
      </c>
      <c r="C40" s="2" t="s">
        <v>962</v>
      </c>
      <c r="D40" s="2" t="s">
        <v>469</v>
      </c>
    </row>
    <row r="41" customFormat="false" ht="23.85" hidden="false" customHeight="false" outlineLevel="0" collapsed="false">
      <c r="A41" s="2" t="s">
        <v>490</v>
      </c>
      <c r="B41" s="2" t="s">
        <v>1015</v>
      </c>
      <c r="C41" s="2" t="s">
        <v>962</v>
      </c>
      <c r="D41" s="2" t="s">
        <v>487</v>
      </c>
    </row>
    <row r="42" customFormat="false" ht="35.05" hidden="false" customHeight="false" outlineLevel="0" collapsed="false">
      <c r="A42" s="2" t="s">
        <v>495</v>
      </c>
      <c r="B42" s="2" t="s">
        <v>1016</v>
      </c>
      <c r="C42" s="2" t="s">
        <v>962</v>
      </c>
      <c r="D42" s="2" t="s">
        <v>493</v>
      </c>
    </row>
    <row r="43" customFormat="false" ht="35.05" hidden="false" customHeight="false" outlineLevel="0" collapsed="false">
      <c r="A43" s="2" t="s">
        <v>500</v>
      </c>
      <c r="B43" s="2" t="s">
        <v>1017</v>
      </c>
      <c r="C43" s="2" t="s">
        <v>962</v>
      </c>
      <c r="D43" s="2" t="s">
        <v>498</v>
      </c>
    </row>
    <row r="44" customFormat="false" ht="23.85" hidden="false" customHeight="false" outlineLevel="0" collapsed="false">
      <c r="A44" s="2" t="s">
        <v>507</v>
      </c>
      <c r="B44" s="2" t="s">
        <v>1018</v>
      </c>
      <c r="C44" s="2" t="s">
        <v>962</v>
      </c>
      <c r="D44" s="2" t="s">
        <v>504</v>
      </c>
    </row>
    <row r="45" customFormat="false" ht="23.85" hidden="false" customHeight="false" outlineLevel="0" collapsed="false">
      <c r="A45" s="2" t="s">
        <v>514</v>
      </c>
      <c r="B45" s="2" t="s">
        <v>1019</v>
      </c>
      <c r="C45" s="2" t="s">
        <v>962</v>
      </c>
      <c r="D45" s="2" t="s">
        <v>510</v>
      </c>
    </row>
    <row r="46" customFormat="false" ht="23.85" hidden="false" customHeight="false" outlineLevel="0" collapsed="false">
      <c r="A46" s="2" t="s">
        <v>526</v>
      </c>
      <c r="B46" s="2" t="s">
        <v>1020</v>
      </c>
      <c r="C46" s="2" t="s">
        <v>962</v>
      </c>
      <c r="D46" s="2" t="s">
        <v>523</v>
      </c>
    </row>
    <row r="47" customFormat="false" ht="23.85" hidden="false" customHeight="false" outlineLevel="0" collapsed="false">
      <c r="A47" s="2" t="s">
        <v>537</v>
      </c>
      <c r="B47" s="2" t="s">
        <v>1021</v>
      </c>
      <c r="C47" s="2" t="s">
        <v>962</v>
      </c>
      <c r="D47" s="2" t="s">
        <v>534</v>
      </c>
    </row>
    <row r="48" customFormat="false" ht="23.85" hidden="false" customHeight="false" outlineLevel="0" collapsed="false">
      <c r="A48" s="2" t="s">
        <v>548</v>
      </c>
      <c r="B48" s="2" t="s">
        <v>1022</v>
      </c>
      <c r="C48" s="2" t="s">
        <v>962</v>
      </c>
      <c r="D48" s="2" t="s">
        <v>545</v>
      </c>
    </row>
    <row r="49" customFormat="false" ht="23.85" hidden="false" customHeight="false" outlineLevel="0" collapsed="false">
      <c r="A49" s="2" t="s">
        <v>554</v>
      </c>
      <c r="B49" s="2" t="s">
        <v>1023</v>
      </c>
      <c r="C49" s="2" t="s">
        <v>962</v>
      </c>
      <c r="D49" s="2" t="s">
        <v>551</v>
      </c>
    </row>
    <row r="50" customFormat="false" ht="23.85" hidden="false" customHeight="false" outlineLevel="0" collapsed="false">
      <c r="A50" s="2" t="s">
        <v>565</v>
      </c>
      <c r="B50" s="2" t="s">
        <v>1024</v>
      </c>
      <c r="C50" s="2" t="s">
        <v>962</v>
      </c>
      <c r="D50" s="2" t="s">
        <v>562</v>
      </c>
    </row>
    <row r="51" customFormat="false" ht="23.85" hidden="false" customHeight="false" outlineLevel="0" collapsed="false">
      <c r="A51" s="2" t="s">
        <v>571</v>
      </c>
      <c r="B51" s="2" t="s">
        <v>1025</v>
      </c>
      <c r="C51" s="2" t="s">
        <v>962</v>
      </c>
      <c r="D51" s="2" t="s">
        <v>568</v>
      </c>
    </row>
    <row r="52" customFormat="false" ht="23.85" hidden="false" customHeight="false" outlineLevel="0" collapsed="false">
      <c r="A52" s="2" t="s">
        <v>582</v>
      </c>
      <c r="B52" s="2" t="s">
        <v>1026</v>
      </c>
      <c r="C52" s="2" t="s">
        <v>962</v>
      </c>
      <c r="D52" s="2" t="s">
        <v>1027</v>
      </c>
    </row>
    <row r="53" customFormat="false" ht="23.85" hidden="false" customHeight="false" outlineLevel="0" collapsed="false">
      <c r="A53" s="2" t="s">
        <v>520</v>
      </c>
      <c r="B53" s="2" t="s">
        <v>1028</v>
      </c>
      <c r="C53" s="2" t="s">
        <v>962</v>
      </c>
      <c r="D53" s="2" t="s">
        <v>518</v>
      </c>
    </row>
    <row r="54" customFormat="false" ht="23.85" hidden="false" customHeight="false" outlineLevel="0" collapsed="false">
      <c r="A54" s="2" t="s">
        <v>531</v>
      </c>
      <c r="B54" s="2" t="s">
        <v>1029</v>
      </c>
      <c r="C54" s="2" t="s">
        <v>962</v>
      </c>
      <c r="D54" s="2" t="s">
        <v>529</v>
      </c>
    </row>
    <row r="55" customFormat="false" ht="23.85" hidden="false" customHeight="false" outlineLevel="0" collapsed="false">
      <c r="A55" s="2" t="s">
        <v>542</v>
      </c>
      <c r="B55" s="2" t="s">
        <v>1030</v>
      </c>
      <c r="C55" s="2" t="s">
        <v>962</v>
      </c>
      <c r="D55" s="2" t="s">
        <v>540</v>
      </c>
    </row>
    <row r="56" customFormat="false" ht="23.85" hidden="false" customHeight="false" outlineLevel="0" collapsed="false">
      <c r="A56" s="2" t="s">
        <v>559</v>
      </c>
      <c r="B56" s="2" t="s">
        <v>1031</v>
      </c>
      <c r="C56" s="2" t="s">
        <v>962</v>
      </c>
      <c r="D56" s="2" t="s">
        <v>557</v>
      </c>
    </row>
    <row r="57" customFormat="false" ht="23.85" hidden="false" customHeight="false" outlineLevel="0" collapsed="false">
      <c r="A57" s="2" t="s">
        <v>576</v>
      </c>
      <c r="B57" s="2" t="s">
        <v>1032</v>
      </c>
      <c r="C57" s="2" t="s">
        <v>962</v>
      </c>
      <c r="D57" s="2" t="s">
        <v>574</v>
      </c>
    </row>
    <row r="58" customFormat="false" ht="57.45" hidden="false" customHeight="false" outlineLevel="0" collapsed="false">
      <c r="A58" s="2" t="s">
        <v>611</v>
      </c>
      <c r="B58" s="2" t="s">
        <v>1033</v>
      </c>
      <c r="C58" s="2" t="s">
        <v>962</v>
      </c>
      <c r="D58" s="2" t="s">
        <v>609</v>
      </c>
    </row>
    <row r="59" customFormat="false" ht="57.45" hidden="false" customHeight="false" outlineLevel="0" collapsed="false">
      <c r="A59" s="2" t="s">
        <v>616</v>
      </c>
      <c r="B59" s="2" t="s">
        <v>1034</v>
      </c>
      <c r="C59" s="2" t="s">
        <v>962</v>
      </c>
      <c r="D59" s="2" t="s">
        <v>614</v>
      </c>
    </row>
    <row r="60" customFormat="false" ht="46.25" hidden="false" customHeight="false" outlineLevel="0" collapsed="false">
      <c r="A60" s="2" t="s">
        <v>621</v>
      </c>
      <c r="B60" s="2" t="s">
        <v>1035</v>
      </c>
      <c r="C60" s="2" t="s">
        <v>990</v>
      </c>
      <c r="D60" s="2" t="s">
        <v>619</v>
      </c>
    </row>
    <row r="61" customFormat="false" ht="79.85" hidden="false" customHeight="false" outlineLevel="0" collapsed="false">
      <c r="A61" s="2" t="s">
        <v>665</v>
      </c>
      <c r="B61" s="2" t="s">
        <v>1036</v>
      </c>
      <c r="C61" s="2" t="s">
        <v>962</v>
      </c>
      <c r="D61" s="2" t="s">
        <v>662</v>
      </c>
    </row>
    <row r="62" customFormat="false" ht="79.85" hidden="false" customHeight="false" outlineLevel="0" collapsed="false">
      <c r="A62" s="2" t="s">
        <v>670</v>
      </c>
      <c r="B62" s="2" t="s">
        <v>1037</v>
      </c>
      <c r="C62" s="2" t="s">
        <v>962</v>
      </c>
      <c r="D62" s="2" t="s">
        <v>668</v>
      </c>
    </row>
    <row r="63" customFormat="false" ht="79.85" hidden="false" customHeight="false" outlineLevel="0" collapsed="false">
      <c r="A63" s="2" t="s">
        <v>675</v>
      </c>
      <c r="B63" s="2" t="s">
        <v>1038</v>
      </c>
      <c r="C63" s="2" t="s">
        <v>962</v>
      </c>
      <c r="D63" s="2" t="s">
        <v>673</v>
      </c>
    </row>
    <row r="64" customFormat="false" ht="35.05" hidden="false" customHeight="false" outlineLevel="0" collapsed="false">
      <c r="A64" s="2" t="s">
        <v>690</v>
      </c>
      <c r="B64" s="2" t="s">
        <v>1039</v>
      </c>
      <c r="C64" s="2" t="s">
        <v>962</v>
      </c>
      <c r="D64" s="2" t="s">
        <v>688</v>
      </c>
    </row>
    <row r="65" customFormat="false" ht="68.65" hidden="false" customHeight="false" outlineLevel="0" collapsed="false">
      <c r="A65" s="2" t="s">
        <v>707</v>
      </c>
      <c r="B65" s="2" t="s">
        <v>1040</v>
      </c>
      <c r="C65" s="2" t="s">
        <v>962</v>
      </c>
      <c r="D65" s="2" t="s">
        <v>704</v>
      </c>
    </row>
    <row r="66" customFormat="false" ht="79.85" hidden="false" customHeight="false" outlineLevel="0" collapsed="false">
      <c r="A66" s="2" t="s">
        <v>712</v>
      </c>
      <c r="B66" s="2" t="s">
        <v>1041</v>
      </c>
      <c r="C66" s="2" t="s">
        <v>962</v>
      </c>
      <c r="D66" s="2" t="s">
        <v>710</v>
      </c>
    </row>
  </sheetData>
  <autoFilter ref="A1:D6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2026-09-29T09:50:28Z</dcterms:created>
  <dc:creator>openpyxl</dc:creator>
  <dc:description/>
  <dc:language>en-US</dc:language>
  <cp:lastModifiedBy/>
  <dcterms:modified xsi:type="dcterms:W3CDTF">2026-09-29T09:50:29Z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